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1cac3db4d00b35/Desktop/HARMON/ROOFING/ROOFR/MASTERSHEET LOCK - UNLOCKED/"/>
    </mc:Choice>
  </mc:AlternateContent>
  <xr:revisionPtr revIDLastSave="128" documentId="8_{E741886C-66DE-4DE5-A415-09E1F44C7086}" xr6:coauthVersionLast="47" xr6:coauthVersionMax="47" xr10:uidLastSave="{EA26B6D5-EB2D-4FC8-8114-8D29E365E851}"/>
  <bookViews>
    <workbookView xWindow="-110" yWindow="-110" windowWidth="25820" windowHeight="15500" xr2:uid="{4B62D133-C36F-478C-A196-8C5F9F5E44F8}"/>
  </bookViews>
  <sheets>
    <sheet name="NEW BUDGET SHEET" sheetId="4" r:id="rId1"/>
    <sheet name="CITY TAX RATES" sheetId="2" r:id="rId2"/>
    <sheet name="MARK UPS WITH OR WITHOUT SOLAR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0" i="4" l="1"/>
  <c r="D118" i="4"/>
  <c r="E117" i="4"/>
  <c r="B114" i="4" l="1"/>
  <c r="B108" i="4"/>
  <c r="C100" i="4"/>
  <c r="B116" i="4"/>
  <c r="B104" i="4"/>
  <c r="E118" i="4"/>
  <c r="G76" i="2"/>
  <c r="C128" i="4" l="1"/>
  <c r="D95" i="4"/>
  <c r="D92" i="4"/>
  <c r="D91" i="4"/>
  <c r="D88" i="4"/>
  <c r="D85" i="4"/>
  <c r="D84" i="4"/>
  <c r="D83" i="4"/>
  <c r="D80" i="4"/>
  <c r="D79" i="4"/>
  <c r="D78" i="4"/>
  <c r="D77" i="4"/>
  <c r="D74" i="4"/>
  <c r="D73" i="4"/>
  <c r="D72" i="4"/>
  <c r="D71" i="4"/>
  <c r="D68" i="4"/>
  <c r="D67" i="4"/>
  <c r="D66" i="4"/>
  <c r="D65" i="4"/>
  <c r="D64" i="4"/>
  <c r="D63" i="4"/>
  <c r="D62" i="4"/>
  <c r="D61" i="4"/>
  <c r="D60" i="4"/>
  <c r="D57" i="4"/>
  <c r="D54" i="4"/>
  <c r="D53" i="4"/>
  <c r="D50" i="4"/>
  <c r="D49" i="4"/>
  <c r="D46" i="4"/>
  <c r="D43" i="4"/>
  <c r="D42" i="4"/>
  <c r="D41" i="4"/>
  <c r="D40" i="4"/>
  <c r="D39" i="4"/>
  <c r="D36" i="4"/>
  <c r="D35" i="4"/>
  <c r="D34" i="4"/>
  <c r="D31" i="4"/>
  <c r="D30" i="4"/>
  <c r="D27" i="4"/>
  <c r="D26" i="4"/>
  <c r="D23" i="4"/>
  <c r="D22" i="4"/>
  <c r="D19" i="4"/>
  <c r="D17" i="4"/>
  <c r="D14" i="4"/>
  <c r="D13" i="4"/>
  <c r="D12" i="4"/>
  <c r="D11" i="4"/>
  <c r="D10" i="4"/>
  <c r="D9" i="4"/>
  <c r="G84" i="2"/>
  <c r="G94" i="2"/>
  <c r="G93" i="2"/>
  <c r="G92" i="2"/>
  <c r="G91" i="2"/>
  <c r="G90" i="2"/>
  <c r="G89" i="2"/>
  <c r="G88" i="2"/>
  <c r="G87" i="2"/>
  <c r="G86" i="2"/>
  <c r="G85" i="2"/>
  <c r="G83" i="2"/>
  <c r="G82" i="2"/>
  <c r="G81" i="2"/>
  <c r="G80" i="2"/>
  <c r="G79" i="2"/>
  <c r="G78" i="2"/>
  <c r="G77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107" i="4" l="1"/>
  <c r="E103" i="4"/>
  <c r="D98" i="4"/>
  <c r="D103" i="4"/>
  <c r="D107" i="4"/>
  <c r="E98" i="4"/>
  <c r="B135" i="4" l="1"/>
  <c r="B136" i="4" s="1"/>
  <c r="D99" i="4"/>
  <c r="D108" i="4"/>
  <c r="D109" i="4" s="1"/>
  <c r="D104" i="4"/>
  <c r="D105" i="4" s="1"/>
  <c r="D122" i="4" s="1"/>
  <c r="D128" i="4" s="1"/>
  <c r="E99" i="4" l="1"/>
  <c r="D100" i="4"/>
  <c r="D101" i="4" s="1"/>
  <c r="D111" i="4" l="1"/>
  <c r="D114" i="4" s="1"/>
  <c r="D115" i="4" s="1"/>
  <c r="E115" i="4" l="1"/>
  <c r="E114" i="4"/>
  <c r="E120" i="4" l="1"/>
  <c r="D116" i="4"/>
  <c r="C125" i="4"/>
  <c r="D119" i="4" l="1"/>
  <c r="D120" i="4" s="1"/>
  <c r="D131" i="4" l="1"/>
  <c r="A150" i="4" s="1"/>
  <c r="A142" i="4" l="1"/>
  <c r="D133" i="4"/>
  <c r="A154" i="4" s="1"/>
  <c r="E121" i="4"/>
  <c r="A138" i="4" s="1"/>
  <c r="A139" i="4" s="1"/>
  <c r="A146" i="4" l="1"/>
</calcChain>
</file>

<file path=xl/sharedStrings.xml><?xml version="1.0" encoding="utf-8"?>
<sst xmlns="http://schemas.openxmlformats.org/spreadsheetml/2006/main" count="456" uniqueCount="266">
  <si>
    <t>SHINGLES</t>
  </si>
  <si>
    <t>OC OAKRIDGE</t>
  </si>
  <si>
    <t>GAF PRO START</t>
  </si>
  <si>
    <t>OC STARTER STRIP</t>
  </si>
  <si>
    <t>BORAL PLY 40 2SQ / RI</t>
  </si>
  <si>
    <t>FONTANA G40</t>
  </si>
  <si>
    <t>UNDERLAYMENTS</t>
  </si>
  <si>
    <t>SYTHETIC UNDERLAYMENTS</t>
  </si>
  <si>
    <t>ABC PROGUARD 10 SQ</t>
  </si>
  <si>
    <t>GAF FELT BUSTER 10 SQ</t>
  </si>
  <si>
    <t>ASPHALT ACCESSORIES</t>
  </si>
  <si>
    <t>SELF ADHERED MODIFIED BITUMEN</t>
  </si>
  <si>
    <t>MULEHIDE SA NAIL BASE</t>
  </si>
  <si>
    <t>MULEHIDE SA BASE SHEET</t>
  </si>
  <si>
    <t>MULEHIDE SA-APP CAP SHEET</t>
  </si>
  <si>
    <t>QUANTITY NEEDED</t>
  </si>
  <si>
    <t>COST</t>
  </si>
  <si>
    <t>TOTAL</t>
  </si>
  <si>
    <t>COATINGS</t>
  </si>
  <si>
    <t>MULEHIDE A-200 FLASHING 2 GALLON</t>
  </si>
  <si>
    <t>MULEHIDE A-310 5 GALLON (WHITE)</t>
  </si>
  <si>
    <t>MULEHIDE A-310 5 GALLON (TAN)</t>
  </si>
  <si>
    <t>MULEHIDE 210 PLASTIC CEMENT 5 GALLON</t>
  </si>
  <si>
    <t>BATTENS</t>
  </si>
  <si>
    <t>FURRING STRIP 1X2X4'</t>
  </si>
  <si>
    <t>METAL FLASHINGS</t>
  </si>
  <si>
    <t>2"X2" DRIP EDGE-GALV</t>
  </si>
  <si>
    <t>2"X2" DRIP EDGE-PAINTED</t>
  </si>
  <si>
    <t>VALLEY METAL</t>
  </si>
  <si>
    <t>18" W-VALLEY GALV WITH HEM</t>
  </si>
  <si>
    <t>24" 3-RIB GALV VALLEY METAL WITH HEM</t>
  </si>
  <si>
    <t>TILE PAN</t>
  </si>
  <si>
    <t>4"X6"X1" TILE PAN GALV</t>
  </si>
  <si>
    <t>JACKS</t>
  </si>
  <si>
    <t>1.5" JACK ALUMINUM WITH SLEEVE</t>
  </si>
  <si>
    <t>2" JACK ALUMINUM WITH SLEEVE</t>
  </si>
  <si>
    <t xml:space="preserve">1.5" JACK ALUMINUM  </t>
  </si>
  <si>
    <t xml:space="preserve">2" JACK ALUMINUM  </t>
  </si>
  <si>
    <t>3" JACK ALUMINUM</t>
  </si>
  <si>
    <t>4" JACK ALUMINUM</t>
  </si>
  <si>
    <t>1.5" JACK GALV</t>
  </si>
  <si>
    <t>2" JACK GALV</t>
  </si>
  <si>
    <t>3" JACK GALV</t>
  </si>
  <si>
    <t>T-TOPS</t>
  </si>
  <si>
    <t>4" T-TOP ALUMINUM</t>
  </si>
  <si>
    <t>4" T-TOP GALV</t>
  </si>
  <si>
    <t>7" T-TOP ALUMINUM</t>
  </si>
  <si>
    <t>7" T-TOP GALV</t>
  </si>
  <si>
    <t>PROJECT NAME</t>
  </si>
  <si>
    <t>TOTAL JOB COSTS (ALL IN)</t>
  </si>
  <si>
    <t>LABOR COST PER SQ SHINGLE</t>
  </si>
  <si>
    <t>LABOR COST PER SQ TILE</t>
  </si>
  <si>
    <t>LABOR COST PER SQ MODIFIED BITUMEN</t>
  </si>
  <si>
    <t>LABOR COST PER SQ RECOATING</t>
  </si>
  <si>
    <t>ROLL OFF PER JOB</t>
  </si>
  <si>
    <t>TOTAL REROOF PROPOSAL COST</t>
  </si>
  <si>
    <t>HOW MANY SQUARES SHINGLE</t>
  </si>
  <si>
    <t>HOW MANY SQUARES TILE</t>
  </si>
  <si>
    <t>HOW MANY SQUARES MODIFIED</t>
  </si>
  <si>
    <t>HOW MANY SQUARE RECOAT (FLAT)</t>
  </si>
  <si>
    <t>RIDGE SHINGLES</t>
  </si>
  <si>
    <t>FOAM PACK (2 SQUARES)</t>
  </si>
  <si>
    <t>FASTNERS</t>
  </si>
  <si>
    <t>1.25 COIL NAILS</t>
  </si>
  <si>
    <t>.75 EG NAILS</t>
  </si>
  <si>
    <t>STAPLES</t>
  </si>
  <si>
    <t>WEATHERBLOCK</t>
  </si>
  <si>
    <t>FLAT</t>
  </si>
  <si>
    <t xml:space="preserve">RIDGE </t>
  </si>
  <si>
    <t>HIPS</t>
  </si>
  <si>
    <t>BIRDSTOP</t>
  </si>
  <si>
    <t>METAL</t>
  </si>
  <si>
    <t>TILE</t>
  </si>
  <si>
    <t>PIECE</t>
  </si>
  <si>
    <t>PALLET</t>
  </si>
  <si>
    <t>ROOFING COSTS</t>
  </si>
  <si>
    <t>TOTAL LABOR</t>
  </si>
  <si>
    <t>COST TO CLIENT</t>
  </si>
  <si>
    <t>ACUMATICA BUDGET</t>
  </si>
  <si>
    <t>BUREDEN LABOR</t>
  </si>
  <si>
    <t xml:space="preserve">TOTAL  MATERIAL </t>
  </si>
  <si>
    <t>LABOR TOTALS</t>
  </si>
  <si>
    <t>LABOR MARK UP</t>
  </si>
  <si>
    <t>MATERIAL MARK UP</t>
  </si>
  <si>
    <t>TOTAL MATERIALS</t>
  </si>
  <si>
    <t>PROFIT DOLLARS</t>
  </si>
  <si>
    <t>YUMA</t>
  </si>
  <si>
    <t>RETAIL CITY TAX (SELECT DROP DOWN)</t>
  </si>
  <si>
    <t>MARICOPA</t>
  </si>
  <si>
    <t>PIMA</t>
  </si>
  <si>
    <t>CITY</t>
  </si>
  <si>
    <t>STATE</t>
  </si>
  <si>
    <t>COUNTY</t>
  </si>
  <si>
    <t>AZ</t>
  </si>
  <si>
    <t>PINAL</t>
  </si>
  <si>
    <t>COCHISE</t>
  </si>
  <si>
    <t>MOHAVE</t>
  </si>
  <si>
    <t>YAVAPAI</t>
  </si>
  <si>
    <t>GREENLEE</t>
  </si>
  <si>
    <t>APACHE</t>
  </si>
  <si>
    <t>COCONINO</t>
  </si>
  <si>
    <t>GILA</t>
  </si>
  <si>
    <t>NAVAJO</t>
  </si>
  <si>
    <t>SANTA CRUZ</t>
  </si>
  <si>
    <t>LA PAZ</t>
  </si>
  <si>
    <t>GRAHAM</t>
  </si>
  <si>
    <t>CITY TAX RATE</t>
  </si>
  <si>
    <t>COUNTY TAX RATE</t>
  </si>
  <si>
    <t>STATE TAX RATE</t>
  </si>
  <si>
    <t>TOTAL TAX RATE</t>
  </si>
  <si>
    <t>APACHE JUNCTION - 9.10%</t>
  </si>
  <si>
    <t>AVONDALE - 8.80%</t>
  </si>
  <si>
    <t>BENSON - 10.10%</t>
  </si>
  <si>
    <t>BISBEE - 10.10%</t>
  </si>
  <si>
    <t>BUCKEYE - 9.30%</t>
  </si>
  <si>
    <t>BULLHEAD CITY - 7.60%</t>
  </si>
  <si>
    <t>CAMP VERDE - 10.00%</t>
  </si>
  <si>
    <t>CAREFREE - 9.30%</t>
  </si>
  <si>
    <t>CASA GRANDE - 8.70%</t>
  </si>
  <si>
    <t>CAVE CREEK - 9.30%</t>
  </si>
  <si>
    <t>CHANDLER - 7.80%</t>
  </si>
  <si>
    <t>CHINO VALLEY - 10.35%</t>
  </si>
  <si>
    <t>CLARKDALE - 9.85%</t>
  </si>
  <si>
    <t>CLIFTON - 9.10%</t>
  </si>
  <si>
    <t>COLORADO CITY - 8.60%</t>
  </si>
  <si>
    <t>COOLIDGE - 9.70%</t>
  </si>
  <si>
    <t>COTTONWOOD - 9.85%</t>
  </si>
  <si>
    <t>DEWEY HUMBLDT - 8.35%</t>
  </si>
  <si>
    <t>DOUGLAS - 10.40%</t>
  </si>
  <si>
    <t>DUNCAN - 8.10%</t>
  </si>
  <si>
    <t>EL MIRAGE - 9.30%</t>
  </si>
  <si>
    <t>ELOY - 9.70%</t>
  </si>
  <si>
    <t>FLAGSTAFF - 9.181%</t>
  </si>
  <si>
    <t>FOUNTAIN HILLS - 9.20%</t>
  </si>
  <si>
    <t>FREDONIA - 10.90%</t>
  </si>
  <si>
    <t>GILA BEND - 9.80%</t>
  </si>
  <si>
    <t>GILBERT - 8.30%</t>
  </si>
  <si>
    <t>GLENDALE - 9.20%</t>
  </si>
  <si>
    <t>GLOBE - 9.90%</t>
  </si>
  <si>
    <t>GOODYEAR - 8.80%</t>
  </si>
  <si>
    <t>GUADALUPE - 10.30%</t>
  </si>
  <si>
    <t>HAYDEN - 9.60%</t>
  </si>
  <si>
    <t>HOLBROOK - 9.43%</t>
  </si>
  <si>
    <t>HUACHUCA CITY - 8.50%</t>
  </si>
  <si>
    <t>JEROME - 9.85%</t>
  </si>
  <si>
    <t>KEARNY - 10.70%</t>
  </si>
  <si>
    <t>KINGMAN - 8.10%</t>
  </si>
  <si>
    <t>LAKE HAVASU - 7.60%</t>
  </si>
  <si>
    <t>LITCHFIELD PARK - 9.10%</t>
  </si>
  <si>
    <t>MAMMOTH - 10.70%</t>
  </si>
  <si>
    <t>MARANA - 8.60%</t>
  </si>
  <si>
    <t>MESA - 8.30%</t>
  </si>
  <si>
    <t>MIAMI -9.10</t>
  </si>
  <si>
    <t>NOGALES - 8.60%</t>
  </si>
  <si>
    <t>ORO VALLEY - 8.6%</t>
  </si>
  <si>
    <t>PAGE - 9.90%</t>
  </si>
  <si>
    <t>PARADISE VALLEY - 8.80%</t>
  </si>
  <si>
    <t>PATAGONIA - 9.60%</t>
  </si>
  <si>
    <t>PAYSON - 10.48%</t>
  </si>
  <si>
    <t>PEORIA - 8.10%</t>
  </si>
  <si>
    <t>PIMA - 8.60%</t>
  </si>
  <si>
    <t>PINETOP - LAKESIDE - 9.43%</t>
  </si>
  <si>
    <t>PRESCOTT - 9.30%</t>
  </si>
  <si>
    <t>PRESCOTT VALLEY - 9.18%</t>
  </si>
  <si>
    <t>QUARTZSITE - 9.10%</t>
  </si>
  <si>
    <t>QUEEN CREEK - 8.55%</t>
  </si>
  <si>
    <t>SAFFORD - 9.10%</t>
  </si>
  <si>
    <t>SAHUARITA - 8.10%</t>
  </si>
  <si>
    <t>SAN LUIS - 10.71%</t>
  </si>
  <si>
    <t>SEDONA - 9.85%</t>
  </si>
  <si>
    <t>SHOW LOW - 8.43%</t>
  </si>
  <si>
    <t>SIERRA VISTA - 8.55%</t>
  </si>
  <si>
    <t>SNOW FLAKE - 9.43%</t>
  </si>
  <si>
    <t>SOMERTON - 10.01%</t>
  </si>
  <si>
    <t>SOUTH TUCSON - 11.10%</t>
  </si>
  <si>
    <t>SPRINGERVILLE - 9.10%</t>
  </si>
  <si>
    <t>ST JOHNS - 9.10%</t>
  </si>
  <si>
    <t>STAR VALLEY - 8.60%</t>
  </si>
  <si>
    <t>SUPERIOR - 10.70%</t>
  </si>
  <si>
    <t>SURPRISE - 9.10%</t>
  </si>
  <si>
    <t>TAYLOR - 9.43%</t>
  </si>
  <si>
    <t>TEMPE - 8.10%</t>
  </si>
  <si>
    <t>THATCHER - 9.10%</t>
  </si>
  <si>
    <t>TOLLESON - 8.80%</t>
  </si>
  <si>
    <t>TOMBSTONE - 10.10%</t>
  </si>
  <si>
    <t>TUCSON - 8.70%</t>
  </si>
  <si>
    <t>TUSAYAN - 8.90%</t>
  </si>
  <si>
    <t>WELLTON - 10.21%</t>
  </si>
  <si>
    <t>WICKENBURG - 8.50%</t>
  </si>
  <si>
    <t>WILCOX - 9.90%</t>
  </si>
  <si>
    <t>WILLIAMS - 10.40%</t>
  </si>
  <si>
    <t>WINKLEMAN - 10.10%</t>
  </si>
  <si>
    <t>WINSLOW - 9.43%</t>
  </si>
  <si>
    <t>YOUNGTOWN - 9.30%</t>
  </si>
  <si>
    <t>YUMA - 8.41%</t>
  </si>
  <si>
    <t xml:space="preserve">ENTER TAX RATE HERE </t>
  </si>
  <si>
    <t>SELECT CITY OF JOB</t>
  </si>
  <si>
    <t>BUDGETED HOURS</t>
  </si>
  <si>
    <t>TOTAL OF CONTRACT PRESENTED TO CLIENT</t>
  </si>
  <si>
    <t>TOTAL OTHER</t>
  </si>
  <si>
    <t>1" SIMPLEX NAILS</t>
  </si>
  <si>
    <t>TONOPAH - 6.30%</t>
  </si>
  <si>
    <t>OTHER</t>
  </si>
  <si>
    <t>OTHER MISC COST</t>
  </si>
  <si>
    <t>OTHER WITH MARK UP</t>
  </si>
  <si>
    <t>O'HAGEN VENTS</t>
  </si>
  <si>
    <t xml:space="preserve">O'HAGEN  </t>
  </si>
  <si>
    <t>TOTAL COMMISSIONS</t>
  </si>
  <si>
    <t>COMMISSIONS BURDEN</t>
  </si>
  <si>
    <t>COMMISSIONS MARK UP</t>
  </si>
  <si>
    <t>COMMISSION TOTALS</t>
  </si>
  <si>
    <t>COST TO HARMON</t>
  </si>
  <si>
    <t>TOTAL JOB PROFIT AFTER COMMISSION PAYOUT</t>
  </si>
  <si>
    <t>TOTAL MATERIAL / LABOR / OTHER</t>
  </si>
  <si>
    <t>SUN CITY - 6.30%</t>
  </si>
  <si>
    <t>ADDITIONAL WARRANTY LINE ITEM</t>
  </si>
  <si>
    <t>(ADDITIONAL 5 YEARS) 10 TOTAL</t>
  </si>
  <si>
    <t>TAXABLE AMOUNT</t>
  </si>
  <si>
    <t>DELTA OVERCHARGE</t>
  </si>
  <si>
    <t>GEO COMMISSIONS</t>
  </si>
  <si>
    <t>GEO BURDEN</t>
  </si>
  <si>
    <t>4 GUYS = DAYS ON JOB</t>
  </si>
  <si>
    <t>TOTAL PROPOSAL COST LESS TAXES</t>
  </si>
  <si>
    <t>EAGER - 9.10%</t>
  </si>
  <si>
    <t>FLORENCE - 10.20%</t>
  </si>
  <si>
    <t>MARICOPA - 9.20%</t>
  </si>
  <si>
    <t>PARKER - 8.60%</t>
  </si>
  <si>
    <t>PHOENIX - 9.10%</t>
  </si>
  <si>
    <t>SCOTTSDALE - 8.00%</t>
  </si>
  <si>
    <t>6 Man Hours Per @ $28 Avg</t>
  </si>
  <si>
    <t>8 Man Hours Per @ $28 Avg</t>
  </si>
  <si>
    <t>4 Man Hours Per @ $28 Avg</t>
  </si>
  <si>
    <t>5 Man Hours Per @ $28 Avg</t>
  </si>
  <si>
    <t>FACTOR IN WASTE WITH REROOF</t>
  </si>
  <si>
    <t>ACUMATICA INVENTORY ID</t>
  </si>
  <si>
    <t>ACCOUNT GROUP</t>
  </si>
  <si>
    <t>DESCRIPTION</t>
  </si>
  <si>
    <t>PROJECT TASK</t>
  </si>
  <si>
    <t xml:space="preserve">BURDENEXR </t>
  </si>
  <si>
    <t>GENM</t>
  </si>
  <si>
    <t>GENO</t>
  </si>
  <si>
    <t>SALES COMM</t>
  </si>
  <si>
    <t>BURDENEXR</t>
  </si>
  <si>
    <t>R1</t>
  </si>
  <si>
    <t>ROOF LABOR</t>
  </si>
  <si>
    <t>N/A</t>
  </si>
  <si>
    <t>SALESCOMM</t>
  </si>
  <si>
    <t>LABOR</t>
  </si>
  <si>
    <t>MATERIAL</t>
  </si>
  <si>
    <t>ROOFING LABOR ONLY (NOT SOLAR)</t>
  </si>
  <si>
    <t>SALES COMMISSION (RESIDENTIAL)</t>
  </si>
  <si>
    <t>MATERIALS</t>
  </si>
  <si>
    <t>OTHER COSTS</t>
  </si>
  <si>
    <t>SCROLL DOWN</t>
  </si>
  <si>
    <t>INCLUDES $100.00 DELIVERY FEE FROM SUPPLIER</t>
  </si>
  <si>
    <t>TOTAL ALL IN COST PER SQUARE SHINGLE (INCLUDES TAXES)</t>
  </si>
  <si>
    <t>TOTAL ALL IN COST PER SQUARE SHINGLE (NO TAXES)</t>
  </si>
  <si>
    <t>TOTAL ALL IN COST PER SQUARE TILE (INCLUDES TAXES)</t>
  </si>
  <si>
    <t>TOTAL ALL IN COST PER SQUARE TILE (NO TAXES)</t>
  </si>
  <si>
    <t>ORIGINAL BUDGETED HOURS QUANTITY AMOUNT</t>
  </si>
  <si>
    <t>ROOFING PROJECTS</t>
  </si>
  <si>
    <t>WITH SOLAR MARK UP</t>
  </si>
  <si>
    <t>WITHOUT SOLAR MARK UP</t>
  </si>
  <si>
    <t>YES</t>
  </si>
  <si>
    <t>NO</t>
  </si>
  <si>
    <t>SOLD WITH SOLAR (YES OR 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</si>
</sst>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0.000%"/>
    <numFmt numFmtId="166" formatCode="&quot;$&quot;#,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rgb="FF0D0D0D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10" fontId="0" fillId="0" borderId="0" xfId="1" applyNumberFormat="1" applyFont="1" applyAlignment="1">
      <alignment horizontal="center"/>
    </xf>
    <xf numFmtId="10" fontId="0" fillId="0" borderId="0" xfId="1" applyNumberFormat="1" applyFont="1" applyFill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2" borderId="1" xfId="0" applyFill="1" applyBorder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 applyProtection="1">
      <alignment horizontal="center"/>
      <protection locked="0"/>
    </xf>
    <xf numFmtId="164" fontId="2" fillId="2" borderId="0" xfId="0" applyNumberFormat="1" applyFont="1" applyFill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164" fontId="2" fillId="2" borderId="0" xfId="1" applyNumberFormat="1" applyFont="1" applyFill="1" applyBorder="1" applyAlignment="1" applyProtection="1">
      <alignment horizont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3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9" fontId="2" fillId="0" borderId="0" xfId="0" applyNumberFormat="1" applyFont="1" applyAlignment="1">
      <alignment horizontal="center"/>
    </xf>
    <xf numFmtId="10" fontId="2" fillId="0" borderId="0" xfId="1" applyNumberFormat="1" applyFont="1" applyBorder="1" applyAlignment="1" applyProtection="1">
      <alignment horizontal="center"/>
    </xf>
    <xf numFmtId="9" fontId="2" fillId="0" borderId="0" xfId="1" applyFont="1" applyBorder="1" applyAlignment="1" applyProtection="1">
      <alignment horizontal="center"/>
    </xf>
    <xf numFmtId="0" fontId="0" fillId="0" borderId="9" xfId="0" applyBorder="1" applyAlignment="1">
      <alignment horizontal="center"/>
    </xf>
    <xf numFmtId="164" fontId="2" fillId="0" borderId="0" xfId="1" applyNumberFormat="1" applyFont="1" applyBorder="1" applyAlignment="1" applyProtection="1">
      <alignment horizontal="center"/>
    </xf>
    <xf numFmtId="0" fontId="2" fillId="2" borderId="0" xfId="0" applyFont="1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/>
    <xf numFmtId="10" fontId="2" fillId="2" borderId="0" xfId="0" applyNumberFormat="1" applyFont="1" applyFill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0" fillId="0" borderId="7" xfId="0" applyBorder="1"/>
    <xf numFmtId="0" fontId="2" fillId="0" borderId="7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/>
    <xf numFmtId="0" fontId="2" fillId="0" borderId="0" xfId="0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164" fontId="2" fillId="3" borderId="9" xfId="0" applyNumberFormat="1" applyFont="1" applyFill="1" applyBorder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2" fontId="2" fillId="0" borderId="9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10" fontId="4" fillId="0" borderId="0" xfId="0" applyNumberFormat="1" applyFont="1" applyAlignment="1">
      <alignment horizontal="center" vertical="center" wrapText="1"/>
    </xf>
    <xf numFmtId="0" fontId="0" fillId="0" borderId="6" xfId="0" applyBorder="1" applyAlignment="1" applyProtection="1">
      <alignment horizontal="center"/>
      <protection locked="0"/>
    </xf>
    <xf numFmtId="164" fontId="2" fillId="0" borderId="6" xfId="0" applyNumberFormat="1" applyFont="1" applyBorder="1" applyProtection="1">
      <protection locked="0"/>
    </xf>
    <xf numFmtId="0" fontId="2" fillId="0" borderId="0" xfId="0" applyFont="1" applyProtection="1"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0" xfId="0" applyFill="1" applyProtection="1">
      <protection locked="0"/>
    </xf>
    <xf numFmtId="164" fontId="0" fillId="3" borderId="0" xfId="0" applyNumberFormat="1" applyFill="1" applyAlignment="1" applyProtection="1">
      <alignment horizontal="center"/>
      <protection locked="0"/>
    </xf>
    <xf numFmtId="0" fontId="4" fillId="3" borderId="0" xfId="0" applyFont="1" applyFill="1" applyAlignment="1">
      <alignment horizontal="center" vertical="center" wrapText="1"/>
    </xf>
    <xf numFmtId="10" fontId="4" fillId="3" borderId="0" xfId="0" applyNumberFormat="1" applyFont="1" applyFill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0" fillId="3" borderId="7" xfId="0" applyFill="1" applyBorder="1" applyAlignment="1">
      <alignment horizontal="center"/>
    </xf>
    <xf numFmtId="10" fontId="2" fillId="4" borderId="0" xfId="0" applyNumberFormat="1" applyFont="1" applyFill="1" applyAlignment="1" applyProtection="1">
      <alignment horizontal="center"/>
      <protection locked="0"/>
    </xf>
    <xf numFmtId="10" fontId="2" fillId="4" borderId="0" xfId="0" applyNumberFormat="1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3" borderId="0" xfId="0" applyNumberFormat="1" applyFont="1" applyFill="1" applyAlignment="1" applyProtection="1">
      <alignment horizontal="center"/>
      <protection locked="0"/>
    </xf>
    <xf numFmtId="9" fontId="0" fillId="0" borderId="0" xfId="0" applyNumberFormat="1" applyAlignment="1">
      <alignment horizontal="center"/>
    </xf>
    <xf numFmtId="164" fontId="5" fillId="5" borderId="0" xfId="0" applyNumberFormat="1" applyFont="1" applyFill="1" applyAlignment="1">
      <alignment horizontal="center"/>
    </xf>
    <xf numFmtId="10" fontId="6" fillId="4" borderId="0" xfId="1" applyNumberFormat="1" applyFont="1" applyFill="1" applyAlignment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164" fontId="2" fillId="2" borderId="0" xfId="0" applyNumberFormat="1" applyFont="1" applyFill="1" applyAlignment="1" applyProtection="1">
      <alignment horizontal="center"/>
      <protection locked="0"/>
    </xf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0" fontId="2" fillId="0" borderId="8" xfId="1" applyNumberFormat="1" applyFont="1" applyBorder="1" applyAlignment="1" applyProtection="1">
      <alignment horizontal="center"/>
    </xf>
    <xf numFmtId="10" fontId="2" fillId="0" borderId="9" xfId="1" applyNumberFormat="1" applyFont="1" applyBorder="1" applyAlignment="1" applyProtection="1">
      <alignment horizontal="center"/>
    </xf>
    <xf numFmtId="10" fontId="2" fillId="0" borderId="10" xfId="1" applyNumberFormat="1" applyFont="1" applyBorder="1" applyAlignment="1" applyProtection="1">
      <alignment horizontal="center"/>
    </xf>
    <xf numFmtId="164" fontId="2" fillId="0" borderId="11" xfId="0" applyNumberFormat="1" applyFont="1" applyBorder="1" applyAlignment="1">
      <alignment horizontal="center" wrapText="1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125</xdr:row>
      <xdr:rowOff>152400</xdr:rowOff>
    </xdr:from>
    <xdr:to>
      <xdr:col>7</xdr:col>
      <xdr:colOff>482600</xdr:colOff>
      <xdr:row>133</xdr:row>
      <xdr:rowOff>44450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65F4065C-E432-97F9-CE53-4912F492C5E4}"/>
            </a:ext>
          </a:extLst>
        </xdr:cNvPr>
        <xdr:cNvSpPr/>
      </xdr:nvSpPr>
      <xdr:spPr>
        <a:xfrm>
          <a:off x="10852150" y="23158450"/>
          <a:ext cx="381000" cy="136525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74CF-BCDA-4DB9-A21E-8DB2936A8FF9}">
  <dimension ref="A1:I154"/>
  <sheetViews>
    <sheetView tabSelected="1" workbookViewId="0">
      <selection activeCell="B4" sqref="B4"/>
    </sheetView>
  </sheetViews>
  <sheetFormatPr defaultColWidth="8.90625" defaultRowHeight="14.5" x14ac:dyDescent="0.35"/>
  <cols>
    <col min="1" max="1" width="37.90625" style="8" bestFit="1" customWidth="1"/>
    <col min="2" max="2" width="23.08984375" style="8" bestFit="1" customWidth="1"/>
    <col min="3" max="3" width="22.90625" style="11" bestFit="1" customWidth="1"/>
    <col min="4" max="4" width="15.90625" style="11" bestFit="1" customWidth="1"/>
    <col min="5" max="5" width="42" style="8" bestFit="1" customWidth="1"/>
    <col min="6" max="6" width="12.7265625" style="8" bestFit="1" customWidth="1"/>
    <col min="7" max="7" width="23.26953125" style="8" bestFit="1" customWidth="1"/>
    <col min="8" max="8" width="15.7265625" style="8" bestFit="1" customWidth="1"/>
    <col min="9" max="9" width="30.90625" style="9" bestFit="1" customWidth="1"/>
    <col min="10" max="16384" width="8.90625" style="9"/>
  </cols>
  <sheetData>
    <row r="1" spans="1:6" ht="18.5" x14ac:dyDescent="0.45">
      <c r="A1" s="75" t="s">
        <v>75</v>
      </c>
      <c r="B1" s="75"/>
      <c r="C1" s="75"/>
      <c r="D1" s="75"/>
    </row>
    <row r="2" spans="1:6" ht="18.5" x14ac:dyDescent="0.45">
      <c r="A2" s="16"/>
      <c r="B2" s="16"/>
      <c r="C2" s="16"/>
      <c r="D2" s="16"/>
    </row>
    <row r="3" spans="1:6" x14ac:dyDescent="0.35">
      <c r="A3" s="13" t="s">
        <v>48</v>
      </c>
      <c r="B3" s="10"/>
      <c r="C3" s="18"/>
      <c r="D3" s="18"/>
    </row>
    <row r="4" spans="1:6" x14ac:dyDescent="0.35">
      <c r="A4" s="13" t="s">
        <v>265</v>
      </c>
      <c r="B4" s="10" t="s">
        <v>263</v>
      </c>
      <c r="C4" s="18"/>
      <c r="D4" s="18"/>
    </row>
    <row r="5" spans="1:6" x14ac:dyDescent="0.35">
      <c r="A5" s="13" t="s">
        <v>56</v>
      </c>
      <c r="B5" s="10">
        <v>0</v>
      </c>
      <c r="C5" s="85" t="s">
        <v>233</v>
      </c>
      <c r="D5" s="18"/>
    </row>
    <row r="6" spans="1:6" x14ac:dyDescent="0.35">
      <c r="A6" s="13" t="s">
        <v>57</v>
      </c>
      <c r="B6" s="10">
        <v>0</v>
      </c>
      <c r="C6" s="85"/>
      <c r="D6" s="18"/>
    </row>
    <row r="7" spans="1:6" x14ac:dyDescent="0.35">
      <c r="A7" s="13" t="s">
        <v>58</v>
      </c>
      <c r="B7" s="10">
        <v>0</v>
      </c>
      <c r="C7" s="18"/>
      <c r="D7" s="18"/>
    </row>
    <row r="8" spans="1:6" x14ac:dyDescent="0.35">
      <c r="A8" s="13" t="s">
        <v>59</v>
      </c>
      <c r="B8" s="10">
        <v>0</v>
      </c>
      <c r="C8" s="18"/>
      <c r="D8" s="18"/>
    </row>
    <row r="9" spans="1:6" x14ac:dyDescent="0.35">
      <c r="A9" s="13" t="s">
        <v>50</v>
      </c>
      <c r="B9" s="18">
        <v>168</v>
      </c>
      <c r="C9" s="20" t="s">
        <v>229</v>
      </c>
      <c r="D9" s="20">
        <f>B9*B5</f>
        <v>0</v>
      </c>
    </row>
    <row r="10" spans="1:6" x14ac:dyDescent="0.35">
      <c r="A10" s="13" t="s">
        <v>51</v>
      </c>
      <c r="B10" s="18">
        <v>224</v>
      </c>
      <c r="C10" s="20" t="s">
        <v>230</v>
      </c>
      <c r="D10" s="20">
        <f>B10*B6</f>
        <v>0</v>
      </c>
      <c r="E10" s="11"/>
      <c r="F10" s="49"/>
    </row>
    <row r="11" spans="1:6" x14ac:dyDescent="0.35">
      <c r="A11" s="13" t="s">
        <v>52</v>
      </c>
      <c r="B11" s="18">
        <v>112</v>
      </c>
      <c r="C11" s="20" t="s">
        <v>231</v>
      </c>
      <c r="D11" s="20">
        <f>B11*B7</f>
        <v>0</v>
      </c>
    </row>
    <row r="12" spans="1:6" x14ac:dyDescent="0.35">
      <c r="A12" s="13" t="s">
        <v>53</v>
      </c>
      <c r="B12" s="18">
        <v>140</v>
      </c>
      <c r="C12" s="20" t="s">
        <v>232</v>
      </c>
      <c r="D12" s="20">
        <f>B12*B8</f>
        <v>0</v>
      </c>
    </row>
    <row r="13" spans="1:6" x14ac:dyDescent="0.35">
      <c r="A13" s="13" t="s">
        <v>54</v>
      </c>
      <c r="B13" s="10">
        <v>0</v>
      </c>
      <c r="C13" s="18">
        <v>600</v>
      </c>
      <c r="D13" s="20">
        <f>B13*C13</f>
        <v>0</v>
      </c>
    </row>
    <row r="14" spans="1:6" x14ac:dyDescent="0.35">
      <c r="A14" s="13" t="s">
        <v>203</v>
      </c>
      <c r="B14" s="10">
        <v>0</v>
      </c>
      <c r="C14" s="18">
        <v>350</v>
      </c>
      <c r="D14" s="20">
        <f>B14*C14</f>
        <v>0</v>
      </c>
      <c r="E14" s="48" t="s">
        <v>254</v>
      </c>
    </row>
    <row r="15" spans="1:6" ht="18.5" x14ac:dyDescent="0.45">
      <c r="A15" s="16"/>
      <c r="B15" s="16"/>
      <c r="C15" s="16"/>
      <c r="D15" s="16"/>
    </row>
    <row r="16" spans="1:6" x14ac:dyDescent="0.35">
      <c r="A16" s="13" t="s">
        <v>0</v>
      </c>
      <c r="B16" s="13" t="s">
        <v>15</v>
      </c>
      <c r="C16" s="20" t="s">
        <v>16</v>
      </c>
      <c r="D16" s="20" t="s">
        <v>17</v>
      </c>
    </row>
    <row r="17" spans="1:4" x14ac:dyDescent="0.35">
      <c r="A17" s="1" t="s">
        <v>1</v>
      </c>
      <c r="B17" s="10">
        <v>0</v>
      </c>
      <c r="C17" s="18">
        <v>43.67</v>
      </c>
      <c r="D17" s="20">
        <f>B17*C17</f>
        <v>0</v>
      </c>
    </row>
    <row r="18" spans="1:4" x14ac:dyDescent="0.35">
      <c r="A18" s="1"/>
      <c r="B18" s="1"/>
      <c r="C18" s="18"/>
      <c r="D18" s="18"/>
    </row>
    <row r="19" spans="1:4" x14ac:dyDescent="0.35">
      <c r="A19" s="1" t="s">
        <v>60</v>
      </c>
      <c r="B19" s="10">
        <v>0</v>
      </c>
      <c r="C19" s="18">
        <v>100.77</v>
      </c>
      <c r="D19" s="20">
        <f>B19*C19</f>
        <v>0</v>
      </c>
    </row>
    <row r="20" spans="1:4" x14ac:dyDescent="0.35">
      <c r="A20" s="1"/>
      <c r="B20" s="1"/>
      <c r="C20" s="18"/>
      <c r="D20" s="18"/>
    </row>
    <row r="21" spans="1:4" x14ac:dyDescent="0.35">
      <c r="A21" s="13" t="s">
        <v>10</v>
      </c>
      <c r="B21" s="1"/>
      <c r="C21" s="18"/>
      <c r="D21" s="18"/>
    </row>
    <row r="22" spans="1:4" x14ac:dyDescent="0.35">
      <c r="A22" s="1" t="s">
        <v>2</v>
      </c>
      <c r="B22" s="10">
        <v>0</v>
      </c>
      <c r="C22" s="18">
        <v>56</v>
      </c>
      <c r="D22" s="20">
        <f>B22*C22</f>
        <v>0</v>
      </c>
    </row>
    <row r="23" spans="1:4" x14ac:dyDescent="0.35">
      <c r="A23" s="1" t="s">
        <v>3</v>
      </c>
      <c r="B23" s="10">
        <v>0</v>
      </c>
      <c r="C23" s="18">
        <v>84.71</v>
      </c>
      <c r="D23" s="20">
        <f>B23*C23</f>
        <v>0</v>
      </c>
    </row>
    <row r="24" spans="1:4" x14ac:dyDescent="0.35">
      <c r="A24" s="1"/>
      <c r="B24" s="1"/>
      <c r="C24" s="18"/>
      <c r="D24" s="18"/>
    </row>
    <row r="25" spans="1:4" x14ac:dyDescent="0.35">
      <c r="A25" s="13" t="s">
        <v>6</v>
      </c>
      <c r="B25" s="1"/>
      <c r="C25" s="18"/>
      <c r="D25" s="18"/>
    </row>
    <row r="26" spans="1:4" x14ac:dyDescent="0.35">
      <c r="A26" s="1" t="s">
        <v>4</v>
      </c>
      <c r="B26" s="10">
        <v>0</v>
      </c>
      <c r="C26" s="18">
        <v>48.75</v>
      </c>
      <c r="D26" s="20">
        <f>B26*C26</f>
        <v>0</v>
      </c>
    </row>
    <row r="27" spans="1:4" x14ac:dyDescent="0.35">
      <c r="A27" s="1" t="s">
        <v>5</v>
      </c>
      <c r="B27" s="10">
        <v>0</v>
      </c>
      <c r="C27" s="18">
        <v>47.5</v>
      </c>
      <c r="D27" s="20">
        <f>B27*C27</f>
        <v>0</v>
      </c>
    </row>
    <row r="28" spans="1:4" x14ac:dyDescent="0.35">
      <c r="A28" s="1"/>
      <c r="B28" s="1"/>
      <c r="C28" s="18"/>
      <c r="D28" s="18"/>
    </row>
    <row r="29" spans="1:4" x14ac:dyDescent="0.35">
      <c r="A29" s="13" t="s">
        <v>7</v>
      </c>
      <c r="B29" s="1"/>
      <c r="C29" s="18"/>
      <c r="D29" s="18"/>
    </row>
    <row r="30" spans="1:4" x14ac:dyDescent="0.35">
      <c r="A30" s="1" t="s">
        <v>8</v>
      </c>
      <c r="B30" s="10">
        <v>0</v>
      </c>
      <c r="C30" s="18">
        <v>88.25</v>
      </c>
      <c r="D30" s="20">
        <f>B30*C30</f>
        <v>0</v>
      </c>
    </row>
    <row r="31" spans="1:4" x14ac:dyDescent="0.35">
      <c r="A31" s="1" t="s">
        <v>9</v>
      </c>
      <c r="B31" s="10">
        <v>0</v>
      </c>
      <c r="C31" s="18">
        <v>0</v>
      </c>
      <c r="D31" s="20">
        <f>B31*C31</f>
        <v>0</v>
      </c>
    </row>
    <row r="32" spans="1:4" x14ac:dyDescent="0.35">
      <c r="A32" s="1"/>
      <c r="B32" s="1"/>
      <c r="C32" s="18"/>
      <c r="D32" s="18"/>
    </row>
    <row r="33" spans="1:4" x14ac:dyDescent="0.35">
      <c r="A33" s="13" t="s">
        <v>11</v>
      </c>
      <c r="B33" s="1"/>
      <c r="C33" s="18"/>
      <c r="D33" s="18"/>
    </row>
    <row r="34" spans="1:4" x14ac:dyDescent="0.35">
      <c r="A34" s="1" t="s">
        <v>12</v>
      </c>
      <c r="B34" s="10">
        <v>0</v>
      </c>
      <c r="C34" s="18">
        <v>132.99</v>
      </c>
      <c r="D34" s="20">
        <f>B34*C34</f>
        <v>0</v>
      </c>
    </row>
    <row r="35" spans="1:4" x14ac:dyDescent="0.35">
      <c r="A35" s="1" t="s">
        <v>13</v>
      </c>
      <c r="B35" s="10">
        <v>0</v>
      </c>
      <c r="C35" s="18">
        <v>137.99</v>
      </c>
      <c r="D35" s="20">
        <f>B35*C35</f>
        <v>0</v>
      </c>
    </row>
    <row r="36" spans="1:4" x14ac:dyDescent="0.35">
      <c r="A36" s="1" t="s">
        <v>14</v>
      </c>
      <c r="B36" s="10">
        <v>0</v>
      </c>
      <c r="C36" s="18">
        <v>127.99</v>
      </c>
      <c r="D36" s="20">
        <f>B36*C36</f>
        <v>0</v>
      </c>
    </row>
    <row r="37" spans="1:4" x14ac:dyDescent="0.35">
      <c r="A37" s="1"/>
      <c r="B37" s="1"/>
      <c r="C37" s="18"/>
      <c r="D37" s="18"/>
    </row>
    <row r="38" spans="1:4" x14ac:dyDescent="0.35">
      <c r="A38" s="13" t="s">
        <v>18</v>
      </c>
      <c r="B38" s="1"/>
      <c r="C38" s="18"/>
      <c r="D38" s="18"/>
    </row>
    <row r="39" spans="1:4" x14ac:dyDescent="0.35">
      <c r="A39" s="1" t="s">
        <v>19</v>
      </c>
      <c r="B39" s="10">
        <v>0</v>
      </c>
      <c r="C39" s="18">
        <v>62.1</v>
      </c>
      <c r="D39" s="20">
        <f>B39*C39</f>
        <v>0</v>
      </c>
    </row>
    <row r="40" spans="1:4" x14ac:dyDescent="0.35">
      <c r="A40" s="1" t="s">
        <v>20</v>
      </c>
      <c r="B40" s="10">
        <v>0</v>
      </c>
      <c r="C40" s="18">
        <v>97.91</v>
      </c>
      <c r="D40" s="20">
        <f>B40*C40</f>
        <v>0</v>
      </c>
    </row>
    <row r="41" spans="1:4" x14ac:dyDescent="0.35">
      <c r="A41" s="1" t="s">
        <v>21</v>
      </c>
      <c r="B41" s="10">
        <v>0</v>
      </c>
      <c r="C41" s="18">
        <v>97.91</v>
      </c>
      <c r="D41" s="20">
        <f>B41*C41</f>
        <v>0</v>
      </c>
    </row>
    <row r="42" spans="1:4" x14ac:dyDescent="0.35">
      <c r="A42" s="1" t="s">
        <v>22</v>
      </c>
      <c r="B42" s="10">
        <v>0</v>
      </c>
      <c r="C42" s="18">
        <v>57.23</v>
      </c>
      <c r="D42" s="20">
        <f>B42*C42</f>
        <v>0</v>
      </c>
    </row>
    <row r="43" spans="1:4" x14ac:dyDescent="0.35">
      <c r="A43" s="1" t="s">
        <v>61</v>
      </c>
      <c r="B43" s="10">
        <v>0</v>
      </c>
      <c r="C43" s="18">
        <v>560</v>
      </c>
      <c r="D43" s="20">
        <f>B43*C43</f>
        <v>0</v>
      </c>
    </row>
    <row r="44" spans="1:4" x14ac:dyDescent="0.35">
      <c r="A44" s="1"/>
      <c r="B44" s="1"/>
      <c r="C44" s="18"/>
      <c r="D44" s="18"/>
    </row>
    <row r="45" spans="1:4" x14ac:dyDescent="0.35">
      <c r="A45" s="13" t="s">
        <v>23</v>
      </c>
      <c r="B45" s="1"/>
      <c r="C45" s="18"/>
      <c r="D45" s="18"/>
    </row>
    <row r="46" spans="1:4" x14ac:dyDescent="0.35">
      <c r="A46" s="1" t="s">
        <v>24</v>
      </c>
      <c r="B46" s="10">
        <v>0</v>
      </c>
      <c r="C46" s="18">
        <v>16.5</v>
      </c>
      <c r="D46" s="20">
        <f>B46*C46</f>
        <v>0</v>
      </c>
    </row>
    <row r="47" spans="1:4" x14ac:dyDescent="0.35">
      <c r="A47" s="1"/>
      <c r="B47" s="1"/>
      <c r="C47" s="18"/>
      <c r="D47" s="18"/>
    </row>
    <row r="48" spans="1:4" x14ac:dyDescent="0.35">
      <c r="A48" s="13" t="s">
        <v>25</v>
      </c>
      <c r="B48" s="1"/>
      <c r="C48" s="18"/>
      <c r="D48" s="18"/>
    </row>
    <row r="49" spans="1:4" x14ac:dyDescent="0.35">
      <c r="A49" s="1" t="s">
        <v>26</v>
      </c>
      <c r="B49" s="10">
        <v>0</v>
      </c>
      <c r="C49" s="18">
        <v>8.9499999999999993</v>
      </c>
      <c r="D49" s="20">
        <f>B49*C49</f>
        <v>0</v>
      </c>
    </row>
    <row r="50" spans="1:4" x14ac:dyDescent="0.35">
      <c r="A50" s="1" t="s">
        <v>27</v>
      </c>
      <c r="B50" s="10">
        <v>0</v>
      </c>
      <c r="C50" s="18">
        <v>8.9499999999999993</v>
      </c>
      <c r="D50" s="20">
        <f>B50*C50</f>
        <v>0</v>
      </c>
    </row>
    <row r="51" spans="1:4" x14ac:dyDescent="0.35">
      <c r="A51" s="1"/>
      <c r="B51" s="1"/>
      <c r="C51" s="18"/>
      <c r="D51" s="18"/>
    </row>
    <row r="52" spans="1:4" x14ac:dyDescent="0.35">
      <c r="A52" s="13" t="s">
        <v>28</v>
      </c>
      <c r="B52" s="1"/>
      <c r="C52" s="18"/>
      <c r="D52" s="18"/>
    </row>
    <row r="53" spans="1:4" x14ac:dyDescent="0.35">
      <c r="A53" s="1" t="s">
        <v>29</v>
      </c>
      <c r="B53" s="10">
        <v>0</v>
      </c>
      <c r="C53" s="18">
        <v>0</v>
      </c>
      <c r="D53" s="20">
        <f>B53*C53</f>
        <v>0</v>
      </c>
    </row>
    <row r="54" spans="1:4" x14ac:dyDescent="0.35">
      <c r="A54" s="1" t="s">
        <v>30</v>
      </c>
      <c r="B54" s="10">
        <v>0</v>
      </c>
      <c r="C54" s="18">
        <v>32.35</v>
      </c>
      <c r="D54" s="20">
        <f>B54*C54</f>
        <v>0</v>
      </c>
    </row>
    <row r="55" spans="1:4" x14ac:dyDescent="0.35">
      <c r="A55" s="1"/>
      <c r="B55" s="1"/>
      <c r="C55" s="18"/>
      <c r="D55" s="18"/>
    </row>
    <row r="56" spans="1:4" x14ac:dyDescent="0.35">
      <c r="A56" s="13" t="s">
        <v>31</v>
      </c>
      <c r="B56" s="1"/>
      <c r="C56" s="18"/>
      <c r="D56" s="18"/>
    </row>
    <row r="57" spans="1:4" x14ac:dyDescent="0.35">
      <c r="A57" s="1" t="s">
        <v>32</v>
      </c>
      <c r="B57" s="10">
        <v>0</v>
      </c>
      <c r="C57" s="18">
        <v>20.87</v>
      </c>
      <c r="D57" s="20">
        <f>B57*C57</f>
        <v>0</v>
      </c>
    </row>
    <row r="58" spans="1:4" x14ac:dyDescent="0.35">
      <c r="A58" s="1"/>
      <c r="B58" s="1"/>
      <c r="C58" s="18"/>
      <c r="D58" s="18"/>
    </row>
    <row r="59" spans="1:4" x14ac:dyDescent="0.35">
      <c r="A59" s="13" t="s">
        <v>33</v>
      </c>
      <c r="B59" s="1"/>
      <c r="C59" s="18"/>
      <c r="D59" s="18"/>
    </row>
    <row r="60" spans="1:4" x14ac:dyDescent="0.35">
      <c r="A60" s="1" t="s">
        <v>34</v>
      </c>
      <c r="B60" s="10">
        <v>0</v>
      </c>
      <c r="C60" s="18">
        <v>24.12</v>
      </c>
      <c r="D60" s="20">
        <f t="shared" ref="D60:D68" si="0">B60*C60</f>
        <v>0</v>
      </c>
    </row>
    <row r="61" spans="1:4" x14ac:dyDescent="0.35">
      <c r="A61" s="1" t="s">
        <v>35</v>
      </c>
      <c r="B61" s="10">
        <v>0</v>
      </c>
      <c r="C61" s="18">
        <v>24.12</v>
      </c>
      <c r="D61" s="20">
        <f t="shared" si="0"/>
        <v>0</v>
      </c>
    </row>
    <row r="62" spans="1:4" x14ac:dyDescent="0.35">
      <c r="A62" s="1" t="s">
        <v>36</v>
      </c>
      <c r="B62" s="10">
        <v>0</v>
      </c>
      <c r="C62" s="18">
        <v>0</v>
      </c>
      <c r="D62" s="20">
        <f t="shared" si="0"/>
        <v>0</v>
      </c>
    </row>
    <row r="63" spans="1:4" x14ac:dyDescent="0.35">
      <c r="A63" s="1" t="s">
        <v>37</v>
      </c>
      <c r="B63" s="10">
        <v>0</v>
      </c>
      <c r="C63" s="18">
        <v>34.54</v>
      </c>
      <c r="D63" s="20">
        <f t="shared" si="0"/>
        <v>0</v>
      </c>
    </row>
    <row r="64" spans="1:4" x14ac:dyDescent="0.35">
      <c r="A64" s="1" t="s">
        <v>38</v>
      </c>
      <c r="B64" s="10">
        <v>0</v>
      </c>
      <c r="C64" s="18">
        <v>0</v>
      </c>
      <c r="D64" s="20">
        <f t="shared" si="0"/>
        <v>0</v>
      </c>
    </row>
    <row r="65" spans="1:4" x14ac:dyDescent="0.35">
      <c r="A65" s="1" t="s">
        <v>39</v>
      </c>
      <c r="B65" s="10">
        <v>0</v>
      </c>
      <c r="C65" s="18">
        <v>34.54</v>
      </c>
      <c r="D65" s="20">
        <f t="shared" si="0"/>
        <v>0</v>
      </c>
    </row>
    <row r="66" spans="1:4" x14ac:dyDescent="0.35">
      <c r="A66" s="1" t="s">
        <v>40</v>
      </c>
      <c r="B66" s="10">
        <v>0</v>
      </c>
      <c r="C66" s="18">
        <v>9.68</v>
      </c>
      <c r="D66" s="20">
        <f t="shared" si="0"/>
        <v>0</v>
      </c>
    </row>
    <row r="67" spans="1:4" x14ac:dyDescent="0.35">
      <c r="A67" s="1" t="s">
        <v>41</v>
      </c>
      <c r="B67" s="10">
        <v>0</v>
      </c>
      <c r="C67" s="18">
        <v>9.07</v>
      </c>
      <c r="D67" s="20">
        <f t="shared" si="0"/>
        <v>0</v>
      </c>
    </row>
    <row r="68" spans="1:4" x14ac:dyDescent="0.35">
      <c r="A68" s="1" t="s">
        <v>42</v>
      </c>
      <c r="B68" s="10">
        <v>0</v>
      </c>
      <c r="C68" s="18">
        <v>13</v>
      </c>
      <c r="D68" s="20">
        <f t="shared" si="0"/>
        <v>0</v>
      </c>
    </row>
    <row r="69" spans="1:4" x14ac:dyDescent="0.35">
      <c r="A69" s="1"/>
      <c r="B69" s="1"/>
      <c r="C69" s="18"/>
      <c r="D69" s="18"/>
    </row>
    <row r="70" spans="1:4" x14ac:dyDescent="0.35">
      <c r="A70" s="13" t="s">
        <v>43</v>
      </c>
      <c r="B70" s="1"/>
      <c r="C70" s="18"/>
      <c r="D70" s="18"/>
    </row>
    <row r="71" spans="1:4" x14ac:dyDescent="0.35">
      <c r="A71" s="1" t="s">
        <v>44</v>
      </c>
      <c r="B71" s="10">
        <v>0</v>
      </c>
      <c r="C71" s="18">
        <v>24.12</v>
      </c>
      <c r="D71" s="20">
        <f>B71*C71</f>
        <v>0</v>
      </c>
    </row>
    <row r="72" spans="1:4" x14ac:dyDescent="0.35">
      <c r="A72" s="1" t="s">
        <v>45</v>
      </c>
      <c r="B72" s="10">
        <v>0</v>
      </c>
      <c r="C72" s="18">
        <v>12.1</v>
      </c>
      <c r="D72" s="20">
        <f>B72*C72</f>
        <v>0</v>
      </c>
    </row>
    <row r="73" spans="1:4" x14ac:dyDescent="0.35">
      <c r="A73" s="1" t="s">
        <v>46</v>
      </c>
      <c r="B73" s="10">
        <v>0</v>
      </c>
      <c r="C73" s="18">
        <v>28.12</v>
      </c>
      <c r="D73" s="20">
        <f>B73*C73</f>
        <v>0</v>
      </c>
    </row>
    <row r="74" spans="1:4" x14ac:dyDescent="0.35">
      <c r="A74" s="1" t="s">
        <v>47</v>
      </c>
      <c r="B74" s="10">
        <v>0</v>
      </c>
      <c r="C74" s="18">
        <v>16.93</v>
      </c>
      <c r="D74" s="20">
        <f>B74*C74</f>
        <v>0</v>
      </c>
    </row>
    <row r="75" spans="1:4" x14ac:dyDescent="0.35">
      <c r="A75" s="1"/>
      <c r="B75" s="1"/>
      <c r="C75" s="18"/>
      <c r="D75" s="18"/>
    </row>
    <row r="76" spans="1:4" x14ac:dyDescent="0.35">
      <c r="A76" s="13" t="s">
        <v>62</v>
      </c>
      <c r="B76" s="1"/>
      <c r="C76" s="18"/>
      <c r="D76" s="18"/>
    </row>
    <row r="77" spans="1:4" x14ac:dyDescent="0.35">
      <c r="A77" s="1" t="s">
        <v>63</v>
      </c>
      <c r="B77" s="10">
        <v>0</v>
      </c>
      <c r="C77" s="18">
        <v>50.99</v>
      </c>
      <c r="D77" s="20">
        <f>B77*C77</f>
        <v>0</v>
      </c>
    </row>
    <row r="78" spans="1:4" x14ac:dyDescent="0.35">
      <c r="A78" s="1" t="s">
        <v>64</v>
      </c>
      <c r="B78" s="10">
        <v>0</v>
      </c>
      <c r="C78" s="18">
        <v>0</v>
      </c>
      <c r="D78" s="20">
        <f>B78*C78</f>
        <v>0</v>
      </c>
    </row>
    <row r="79" spans="1:4" x14ac:dyDescent="0.35">
      <c r="A79" s="1" t="s">
        <v>65</v>
      </c>
      <c r="B79" s="10">
        <v>0</v>
      </c>
      <c r="C79" s="18">
        <v>50.99</v>
      </c>
      <c r="D79" s="20">
        <f>B79*C79</f>
        <v>0</v>
      </c>
    </row>
    <row r="80" spans="1:4" x14ac:dyDescent="0.35">
      <c r="A80" s="1" t="s">
        <v>200</v>
      </c>
      <c r="B80" s="10">
        <v>0</v>
      </c>
      <c r="C80" s="18">
        <v>23.99</v>
      </c>
      <c r="D80" s="20">
        <f>B80*C80</f>
        <v>0</v>
      </c>
    </row>
    <row r="81" spans="1:7" x14ac:dyDescent="0.35">
      <c r="A81" s="1"/>
      <c r="B81" s="19"/>
      <c r="C81" s="18"/>
      <c r="D81" s="18"/>
    </row>
    <row r="82" spans="1:7" x14ac:dyDescent="0.35">
      <c r="A82" s="13" t="s">
        <v>66</v>
      </c>
      <c r="B82" s="1"/>
      <c r="C82" s="18"/>
      <c r="D82" s="18"/>
    </row>
    <row r="83" spans="1:7" x14ac:dyDescent="0.35">
      <c r="A83" s="1" t="s">
        <v>67</v>
      </c>
      <c r="B83" s="10">
        <v>0</v>
      </c>
      <c r="C83" s="18">
        <v>108.17</v>
      </c>
      <c r="D83" s="20">
        <f>B83*C83</f>
        <v>0</v>
      </c>
    </row>
    <row r="84" spans="1:7" x14ac:dyDescent="0.35">
      <c r="A84" s="1" t="s">
        <v>68</v>
      </c>
      <c r="B84" s="10">
        <v>0</v>
      </c>
      <c r="C84" s="18">
        <v>93.08</v>
      </c>
      <c r="D84" s="20">
        <f>B84*C84</f>
        <v>0</v>
      </c>
    </row>
    <row r="85" spans="1:7" x14ac:dyDescent="0.35">
      <c r="A85" s="1" t="s">
        <v>69</v>
      </c>
      <c r="B85" s="10">
        <v>0</v>
      </c>
      <c r="C85" s="18">
        <v>47.79</v>
      </c>
      <c r="D85" s="20">
        <f>B85*C85</f>
        <v>0</v>
      </c>
      <c r="G85" s="1"/>
    </row>
    <row r="86" spans="1:7" x14ac:dyDescent="0.35">
      <c r="A86" s="1"/>
      <c r="B86" s="1"/>
      <c r="C86" s="18"/>
      <c r="D86" s="18"/>
    </row>
    <row r="87" spans="1:7" x14ac:dyDescent="0.35">
      <c r="A87" s="13" t="s">
        <v>70</v>
      </c>
      <c r="B87" s="1"/>
      <c r="C87" s="18"/>
      <c r="D87" s="18"/>
    </row>
    <row r="88" spans="1:7" x14ac:dyDescent="0.35">
      <c r="A88" s="1" t="s">
        <v>71</v>
      </c>
      <c r="B88" s="10">
        <v>0</v>
      </c>
      <c r="C88" s="18">
        <v>10.87</v>
      </c>
      <c r="D88" s="20">
        <f>B88*C88</f>
        <v>0</v>
      </c>
    </row>
    <row r="89" spans="1:7" x14ac:dyDescent="0.35">
      <c r="A89" s="1"/>
      <c r="B89" s="1"/>
      <c r="C89" s="18"/>
      <c r="D89" s="18"/>
    </row>
    <row r="90" spans="1:7" x14ac:dyDescent="0.35">
      <c r="A90" s="13" t="s">
        <v>72</v>
      </c>
      <c r="B90" s="1"/>
      <c r="C90" s="18"/>
      <c r="D90" s="18"/>
    </row>
    <row r="91" spans="1:7" x14ac:dyDescent="0.35">
      <c r="A91" s="1" t="s">
        <v>73</v>
      </c>
      <c r="B91" s="10">
        <v>0</v>
      </c>
      <c r="C91" s="18">
        <v>5.98</v>
      </c>
      <c r="D91" s="20">
        <f>B91*C91</f>
        <v>0</v>
      </c>
    </row>
    <row r="92" spans="1:7" x14ac:dyDescent="0.35">
      <c r="A92" s="1" t="s">
        <v>74</v>
      </c>
      <c r="B92" s="10">
        <v>0</v>
      </c>
      <c r="C92" s="18">
        <v>697</v>
      </c>
      <c r="D92" s="20">
        <f>B92*C92</f>
        <v>0</v>
      </c>
    </row>
    <row r="93" spans="1:7" x14ac:dyDescent="0.35">
      <c r="A93" s="1"/>
      <c r="B93" s="1"/>
      <c r="C93" s="18"/>
      <c r="D93" s="18"/>
    </row>
    <row r="94" spans="1:7" x14ac:dyDescent="0.35">
      <c r="A94" s="13" t="s">
        <v>205</v>
      </c>
      <c r="B94" s="1"/>
      <c r="C94" s="18"/>
      <c r="D94" s="18"/>
    </row>
    <row r="95" spans="1:7" x14ac:dyDescent="0.35">
      <c r="A95" s="1" t="s">
        <v>206</v>
      </c>
      <c r="B95" s="10">
        <v>0</v>
      </c>
      <c r="C95" s="18">
        <v>100</v>
      </c>
      <c r="D95" s="20">
        <f>B95*C95</f>
        <v>0</v>
      </c>
    </row>
    <row r="96" spans="1:7" ht="15" thickBot="1" x14ac:dyDescent="0.4">
      <c r="A96" s="1"/>
      <c r="B96" s="1"/>
      <c r="C96" s="18"/>
      <c r="D96" s="18"/>
    </row>
    <row r="97" spans="1:9" x14ac:dyDescent="0.35">
      <c r="A97" s="21"/>
      <c r="B97" s="26"/>
      <c r="C97" s="34"/>
      <c r="D97" s="39" t="s">
        <v>77</v>
      </c>
      <c r="E97" s="40" t="s">
        <v>78</v>
      </c>
      <c r="F97" s="48" t="s">
        <v>237</v>
      </c>
      <c r="G97" s="48" t="s">
        <v>234</v>
      </c>
      <c r="H97" s="48" t="s">
        <v>235</v>
      </c>
      <c r="I97" s="48" t="s">
        <v>236</v>
      </c>
    </row>
    <row r="98" spans="1:9" x14ac:dyDescent="0.35">
      <c r="A98" s="22" t="s">
        <v>76</v>
      </c>
      <c r="B98" s="1"/>
      <c r="C98" s="18"/>
      <c r="D98" s="20">
        <f>SUM(D9,D10,D11,D12)</f>
        <v>0</v>
      </c>
      <c r="E98" s="41">
        <f>SUM(D9,D10,D11,D12)</f>
        <v>0</v>
      </c>
      <c r="F98" s="59" t="s">
        <v>243</v>
      </c>
      <c r="G98" s="59" t="s">
        <v>244</v>
      </c>
      <c r="H98" s="59" t="s">
        <v>247</v>
      </c>
      <c r="I98" s="60" t="s">
        <v>249</v>
      </c>
    </row>
    <row r="99" spans="1:9" x14ac:dyDescent="0.35">
      <c r="A99" s="22" t="s">
        <v>79</v>
      </c>
      <c r="B99" s="1"/>
      <c r="C99" s="18"/>
      <c r="D99" s="20">
        <f>D98*20%</f>
        <v>0</v>
      </c>
      <c r="E99" s="41">
        <f>D99</f>
        <v>0</v>
      </c>
      <c r="F99" s="61" t="s">
        <v>238</v>
      </c>
      <c r="G99" s="59" t="s">
        <v>244</v>
      </c>
      <c r="H99" s="59" t="s">
        <v>247</v>
      </c>
      <c r="I99" s="60" t="s">
        <v>249</v>
      </c>
    </row>
    <row r="100" spans="1:9" x14ac:dyDescent="0.35">
      <c r="A100" s="22" t="s">
        <v>82</v>
      </c>
      <c r="B100" s="66">
        <f>IF(B4="NO",20%,IF(B4="YES",35%,""))</f>
        <v>0.35</v>
      </c>
      <c r="C100" s="71" t="str">
        <f>IF(B100=35%,"WITH SOLAR",IF(B100=20%,"NO SOLAR",""))</f>
        <v>WITH SOLAR</v>
      </c>
      <c r="D100" s="20">
        <f>SUM(D98:D99)*B100</f>
        <v>0</v>
      </c>
      <c r="E100" s="42"/>
      <c r="F100" s="11"/>
    </row>
    <row r="101" spans="1:9" x14ac:dyDescent="0.35">
      <c r="A101" s="22" t="s">
        <v>81</v>
      </c>
      <c r="B101" s="27"/>
      <c r="C101" s="18"/>
      <c r="D101" s="20">
        <f>SUM(D98:D100)</f>
        <v>0</v>
      </c>
      <c r="E101" s="43"/>
      <c r="F101" s="11"/>
    </row>
    <row r="102" spans="1:9" x14ac:dyDescent="0.35">
      <c r="A102" s="22"/>
      <c r="B102" s="27"/>
      <c r="C102" s="18"/>
      <c r="D102" s="20"/>
      <c r="E102" s="43"/>
      <c r="F102" s="52"/>
    </row>
    <row r="103" spans="1:9" x14ac:dyDescent="0.35">
      <c r="A103" s="22" t="s">
        <v>80</v>
      </c>
      <c r="B103" s="1"/>
      <c r="C103" s="18"/>
      <c r="D103" s="20">
        <f>SUM(D17,D19,D22,D23,D26,D27,D30,D31,D34,D35,D36,D39,D40,D41,D42,D43,D46,D49,D50,D53,D54,D57,D60,D61,D62,D63,D64,D65,D66,D67,D68,D71,D72,D73,D74,D77,D78,D79,D80,D83,D84,D85,D88,D91,D92,D95)</f>
        <v>0</v>
      </c>
      <c r="E103" s="41">
        <f>SUM(D17,D19,D22:D23,D26:D27,D30:D31,D34:D36,D39:D43,D46,D49:D50,D53:D54,D57,D60:D68,D71:D74,D77:D80,D83:D85,D88,D91:D92,D95)</f>
        <v>0</v>
      </c>
      <c r="F103" s="59" t="s">
        <v>239</v>
      </c>
      <c r="G103" s="59" t="s">
        <v>245</v>
      </c>
      <c r="H103" s="59" t="s">
        <v>248</v>
      </c>
      <c r="I103" s="60" t="s">
        <v>251</v>
      </c>
    </row>
    <row r="104" spans="1:9" x14ac:dyDescent="0.35">
      <c r="A104" s="22" t="s">
        <v>83</v>
      </c>
      <c r="B104" s="66">
        <f>B100</f>
        <v>0.35</v>
      </c>
      <c r="C104" s="18"/>
      <c r="D104" s="20">
        <f>D103*B104</f>
        <v>0</v>
      </c>
      <c r="E104" s="43"/>
    </row>
    <row r="105" spans="1:9" x14ac:dyDescent="0.35">
      <c r="A105" s="22" t="s">
        <v>84</v>
      </c>
      <c r="B105" s="1"/>
      <c r="C105" s="18"/>
      <c r="D105" s="20">
        <f>SUM(D103:D104)</f>
        <v>0</v>
      </c>
      <c r="E105" s="43"/>
      <c r="F105" s="48"/>
      <c r="G105" s="48"/>
    </row>
    <row r="106" spans="1:9" x14ac:dyDescent="0.35">
      <c r="A106" s="22"/>
      <c r="B106" s="1"/>
      <c r="C106" s="18"/>
      <c r="D106" s="20"/>
      <c r="E106" s="43"/>
      <c r="F106" s="49"/>
      <c r="G106" s="49"/>
    </row>
    <row r="107" spans="1:9" x14ac:dyDescent="0.35">
      <c r="A107" s="22" t="s">
        <v>202</v>
      </c>
      <c r="B107" s="1"/>
      <c r="C107" s="18"/>
      <c r="D107" s="20">
        <f>SUM(D13:D14)</f>
        <v>0</v>
      </c>
      <c r="E107" s="41">
        <f>SUM(D13:D14)</f>
        <v>0</v>
      </c>
      <c r="F107" s="59" t="s">
        <v>240</v>
      </c>
      <c r="G107" s="59" t="s">
        <v>245</v>
      </c>
      <c r="H107" s="59" t="s">
        <v>202</v>
      </c>
      <c r="I107" s="60" t="s">
        <v>252</v>
      </c>
    </row>
    <row r="108" spans="1:9" x14ac:dyDescent="0.35">
      <c r="A108" s="22" t="s">
        <v>204</v>
      </c>
      <c r="B108" s="66">
        <f>B100</f>
        <v>0.35</v>
      </c>
      <c r="C108" s="18"/>
      <c r="D108" s="20">
        <f>D107*B108</f>
        <v>0</v>
      </c>
      <c r="E108" s="43"/>
      <c r="F108" s="86"/>
      <c r="G108" s="87"/>
    </row>
    <row r="109" spans="1:9" x14ac:dyDescent="0.35">
      <c r="A109" s="22" t="s">
        <v>199</v>
      </c>
      <c r="B109" s="1"/>
      <c r="C109" s="18"/>
      <c r="D109" s="20">
        <f>SUM(D107:D108)</f>
        <v>0</v>
      </c>
      <c r="E109" s="44"/>
      <c r="F109" s="57"/>
      <c r="G109" s="58"/>
    </row>
    <row r="110" spans="1:9" x14ac:dyDescent="0.35">
      <c r="A110" s="22"/>
      <c r="B110" s="1"/>
      <c r="C110" s="18"/>
      <c r="D110" s="20"/>
      <c r="E110" s="44"/>
    </row>
    <row r="111" spans="1:9" x14ac:dyDescent="0.35">
      <c r="A111" s="22" t="s">
        <v>213</v>
      </c>
      <c r="B111" s="1"/>
      <c r="C111" s="18"/>
      <c r="D111" s="20">
        <f>SUM(D101,D105,D109)</f>
        <v>0</v>
      </c>
      <c r="E111" s="44"/>
    </row>
    <row r="112" spans="1:9" x14ac:dyDescent="0.35">
      <c r="A112" s="22"/>
      <c r="B112" s="1"/>
      <c r="C112" s="18"/>
      <c r="D112" s="20"/>
      <c r="E112" s="44"/>
    </row>
    <row r="113" spans="1:9" x14ac:dyDescent="0.35">
      <c r="A113" s="22"/>
      <c r="B113" s="20"/>
      <c r="C113" s="18"/>
      <c r="D113" s="20" t="s">
        <v>211</v>
      </c>
      <c r="E113" s="45" t="s">
        <v>78</v>
      </c>
    </row>
    <row r="114" spans="1:9" x14ac:dyDescent="0.35">
      <c r="A114" s="22" t="s">
        <v>207</v>
      </c>
      <c r="B114" s="72">
        <f>IF(B100=20%,1.5%,IF(B100=35%,2.5%,""))</f>
        <v>2.5000000000000001E-2</v>
      </c>
      <c r="C114" s="18"/>
      <c r="D114" s="20">
        <f>SUM(D111*B114)</f>
        <v>0</v>
      </c>
      <c r="E114" s="41">
        <f>D114</f>
        <v>0</v>
      </c>
      <c r="F114" s="62" t="s">
        <v>241</v>
      </c>
      <c r="G114" s="62" t="s">
        <v>246</v>
      </c>
      <c r="H114" s="59" t="s">
        <v>247</v>
      </c>
      <c r="I114" s="60" t="s">
        <v>250</v>
      </c>
    </row>
    <row r="115" spans="1:9" x14ac:dyDescent="0.35">
      <c r="A115" s="22" t="s">
        <v>208</v>
      </c>
      <c r="B115" s="28"/>
      <c r="C115" s="18"/>
      <c r="D115" s="20">
        <f>D114*20%</f>
        <v>0</v>
      </c>
      <c r="E115" s="41">
        <f>D115</f>
        <v>0</v>
      </c>
      <c r="F115" s="62" t="s">
        <v>242</v>
      </c>
      <c r="G115" s="63" t="s">
        <v>246</v>
      </c>
      <c r="H115" s="59" t="s">
        <v>247</v>
      </c>
      <c r="I115" s="60" t="s">
        <v>250</v>
      </c>
    </row>
    <row r="116" spans="1:9" x14ac:dyDescent="0.35">
      <c r="A116" s="22" t="s">
        <v>209</v>
      </c>
      <c r="B116" s="67">
        <f>B100</f>
        <v>0.35</v>
      </c>
      <c r="C116" s="18"/>
      <c r="D116" s="20">
        <f>SUM(D114:D115)*B116</f>
        <v>0</v>
      </c>
      <c r="E116" s="43"/>
      <c r="F116" s="54"/>
      <c r="G116" s="55"/>
    </row>
    <row r="117" spans="1:9" x14ac:dyDescent="0.35">
      <c r="A117" s="50" t="s">
        <v>219</v>
      </c>
      <c r="D117" s="15">
        <v>0</v>
      </c>
      <c r="E117" s="41">
        <f>D117</f>
        <v>0</v>
      </c>
      <c r="F117" s="62" t="s">
        <v>241</v>
      </c>
      <c r="G117" s="63" t="s">
        <v>246</v>
      </c>
      <c r="H117" s="59" t="s">
        <v>247</v>
      </c>
      <c r="I117" s="60" t="s">
        <v>250</v>
      </c>
    </row>
    <row r="118" spans="1:9" x14ac:dyDescent="0.35">
      <c r="A118" s="48" t="s">
        <v>220</v>
      </c>
      <c r="D118" s="49">
        <f>D117*20%</f>
        <v>0</v>
      </c>
      <c r="E118" s="41">
        <f>D118</f>
        <v>0</v>
      </c>
      <c r="F118" s="62" t="s">
        <v>242</v>
      </c>
      <c r="G118" s="62" t="s">
        <v>246</v>
      </c>
      <c r="H118" s="59" t="s">
        <v>247</v>
      </c>
      <c r="I118" s="60" t="s">
        <v>250</v>
      </c>
    </row>
    <row r="119" spans="1:9" x14ac:dyDescent="0.35">
      <c r="A119" s="22" t="s">
        <v>210</v>
      </c>
      <c r="B119" s="28"/>
      <c r="C119" s="18"/>
      <c r="D119" s="20">
        <f>SUM(D114:D118)</f>
        <v>0</v>
      </c>
      <c r="E119" s="44"/>
    </row>
    <row r="120" spans="1:9" x14ac:dyDescent="0.35">
      <c r="A120" s="22" t="s">
        <v>49</v>
      </c>
      <c r="B120" s="1"/>
      <c r="C120" s="18"/>
      <c r="D120" s="20">
        <f>SUM(D101,D105,D109,D119)</f>
        <v>0</v>
      </c>
      <c r="E120" s="43">
        <f>SUM(E98:E99,E103,E107,E114:E115,E117:E118)</f>
        <v>0</v>
      </c>
    </row>
    <row r="121" spans="1:9" x14ac:dyDescent="0.35">
      <c r="A121" s="22" t="s">
        <v>85</v>
      </c>
      <c r="B121" s="29"/>
      <c r="C121" s="18"/>
      <c r="D121" s="28"/>
      <c r="E121" s="43">
        <f>D120-E120</f>
        <v>0</v>
      </c>
    </row>
    <row r="122" spans="1:9" ht="15" thickBot="1" x14ac:dyDescent="0.4">
      <c r="A122" s="23" t="s">
        <v>217</v>
      </c>
      <c r="B122" s="30"/>
      <c r="C122" s="35"/>
      <c r="D122" s="51">
        <f>D105</f>
        <v>0</v>
      </c>
      <c r="E122" s="46"/>
      <c r="F122" s="90" t="s">
        <v>253</v>
      </c>
      <c r="G122" s="91"/>
      <c r="H122" s="91"/>
      <c r="I122" s="91"/>
    </row>
    <row r="123" spans="1:9" x14ac:dyDescent="0.35">
      <c r="A123" s="22"/>
      <c r="B123" s="29"/>
      <c r="C123" s="18"/>
      <c r="D123" s="28"/>
      <c r="E123" s="43"/>
      <c r="F123" s="90"/>
      <c r="G123" s="91"/>
      <c r="H123" s="91"/>
      <c r="I123" s="91"/>
    </row>
    <row r="124" spans="1:9" x14ac:dyDescent="0.35">
      <c r="A124" s="22" t="s">
        <v>215</v>
      </c>
      <c r="B124" s="17">
        <v>0</v>
      </c>
      <c r="C124" s="20" t="s">
        <v>218</v>
      </c>
      <c r="D124" s="28"/>
      <c r="E124" s="43"/>
      <c r="F124" s="90"/>
      <c r="G124" s="91"/>
      <c r="H124" s="91"/>
      <c r="I124" s="91"/>
    </row>
    <row r="125" spans="1:9" ht="15" thickBot="1" x14ac:dyDescent="0.4">
      <c r="A125" s="22" t="s">
        <v>216</v>
      </c>
      <c r="B125" s="31">
        <v>1500</v>
      </c>
      <c r="C125" s="36">
        <f>B124-B125</f>
        <v>-1500</v>
      </c>
      <c r="D125" s="28"/>
      <c r="E125" s="43"/>
      <c r="F125" s="90"/>
      <c r="G125" s="91"/>
      <c r="H125" s="91"/>
      <c r="I125" s="91"/>
    </row>
    <row r="126" spans="1:9" x14ac:dyDescent="0.35">
      <c r="A126" s="24"/>
      <c r="B126" s="26"/>
      <c r="C126" s="34"/>
      <c r="D126" s="39"/>
      <c r="E126" s="47"/>
    </row>
    <row r="127" spans="1:9" x14ac:dyDescent="0.35">
      <c r="A127" s="25"/>
      <c r="B127" s="32" t="s">
        <v>196</v>
      </c>
      <c r="C127" s="37" t="s">
        <v>195</v>
      </c>
      <c r="D127" s="18"/>
      <c r="E127" s="42"/>
    </row>
    <row r="128" spans="1:9" x14ac:dyDescent="0.35">
      <c r="A128" s="22" t="s">
        <v>87</v>
      </c>
      <c r="B128" s="14" t="s">
        <v>227</v>
      </c>
      <c r="C128" s="38">
        <f>VLOOKUP(B128,'CITY TAX RATES'!A1:G94,7,0)</f>
        <v>9.0999999999999998E-2</v>
      </c>
      <c r="D128" s="20">
        <f>C128*D122</f>
        <v>0</v>
      </c>
      <c r="E128" s="42"/>
    </row>
    <row r="129" spans="1:9" x14ac:dyDescent="0.35">
      <c r="A129" s="25"/>
      <c r="B129" s="20"/>
      <c r="C129" s="18"/>
      <c r="D129" s="18"/>
      <c r="E129" s="42"/>
    </row>
    <row r="130" spans="1:9" x14ac:dyDescent="0.35">
      <c r="A130" s="22"/>
      <c r="B130" s="1"/>
      <c r="C130" s="18"/>
      <c r="D130" s="18"/>
      <c r="E130" s="43"/>
    </row>
    <row r="131" spans="1:9" x14ac:dyDescent="0.35">
      <c r="A131" s="22" t="s">
        <v>55</v>
      </c>
      <c r="B131" s="1"/>
      <c r="C131" s="18"/>
      <c r="D131" s="68">
        <f>SUM(D120,D128,B124)</f>
        <v>0</v>
      </c>
      <c r="E131" s="42"/>
      <c r="F131" s="56"/>
    </row>
    <row r="132" spans="1:9" x14ac:dyDescent="0.35">
      <c r="A132" s="22" t="s">
        <v>198</v>
      </c>
      <c r="B132" s="1"/>
      <c r="C132" s="18"/>
      <c r="D132" s="15">
        <v>0</v>
      </c>
      <c r="E132" s="42"/>
      <c r="F132" s="56"/>
    </row>
    <row r="133" spans="1:9" x14ac:dyDescent="0.35">
      <c r="A133" s="48" t="s">
        <v>222</v>
      </c>
      <c r="B133" s="1"/>
      <c r="C133" s="18"/>
      <c r="D133" s="69">
        <f>D131-D128</f>
        <v>0</v>
      </c>
      <c r="E133" s="42"/>
      <c r="F133" s="56"/>
    </row>
    <row r="134" spans="1:9" x14ac:dyDescent="0.35">
      <c r="A134" s="22"/>
      <c r="B134" s="1"/>
      <c r="C134" s="18"/>
      <c r="D134" s="18"/>
      <c r="E134" s="42"/>
      <c r="F134" s="56"/>
    </row>
    <row r="135" spans="1:9" x14ac:dyDescent="0.35">
      <c r="A135" s="22" t="s">
        <v>197</v>
      </c>
      <c r="B135" s="33">
        <f>D98/28</f>
        <v>0</v>
      </c>
      <c r="C135" s="64"/>
      <c r="D135" s="64"/>
      <c r="E135" s="65"/>
      <c r="F135" s="88" t="s">
        <v>259</v>
      </c>
      <c r="G135" s="89"/>
      <c r="H135" s="89"/>
      <c r="I135" s="89"/>
    </row>
    <row r="136" spans="1:9" ht="15" thickBot="1" x14ac:dyDescent="0.4">
      <c r="A136" s="23" t="s">
        <v>221</v>
      </c>
      <c r="B136" s="53">
        <f>B135/32</f>
        <v>0</v>
      </c>
      <c r="C136" s="35"/>
      <c r="D136" s="35"/>
      <c r="E136" s="46"/>
      <c r="F136" s="56"/>
    </row>
    <row r="137" spans="1:9" x14ac:dyDescent="0.35">
      <c r="A137" s="76" t="s">
        <v>212</v>
      </c>
      <c r="B137" s="77"/>
      <c r="C137" s="77"/>
      <c r="D137" s="77"/>
      <c r="E137" s="78"/>
    </row>
    <row r="138" spans="1:9" x14ac:dyDescent="0.35">
      <c r="A138" s="79">
        <f>E121</f>
        <v>0</v>
      </c>
      <c r="B138" s="80"/>
      <c r="C138" s="80"/>
      <c r="D138" s="80"/>
      <c r="E138" s="81"/>
    </row>
    <row r="139" spans="1:9" ht="15" thickBot="1" x14ac:dyDescent="0.4">
      <c r="A139" s="82" t="e">
        <f>A138/D120</f>
        <v>#DIV/0!</v>
      </c>
      <c r="B139" s="83"/>
      <c r="C139" s="83"/>
      <c r="D139" s="83"/>
      <c r="E139" s="84"/>
    </row>
    <row r="140" spans="1:9" x14ac:dyDescent="0.35">
      <c r="C140" s="12"/>
    </row>
    <row r="141" spans="1:9" x14ac:dyDescent="0.35">
      <c r="A141" s="73" t="s">
        <v>255</v>
      </c>
      <c r="B141" s="73"/>
      <c r="C141" s="73"/>
      <c r="D141" s="73"/>
      <c r="E141" s="73"/>
    </row>
    <row r="142" spans="1:9" x14ac:dyDescent="0.35">
      <c r="A142" s="74" t="e">
        <f>D131/B5</f>
        <v>#DIV/0!</v>
      </c>
      <c r="B142" s="73"/>
      <c r="C142" s="73"/>
      <c r="D142" s="73"/>
      <c r="E142" s="73"/>
    </row>
    <row r="145" spans="1:5" x14ac:dyDescent="0.35">
      <c r="A145" s="73" t="s">
        <v>256</v>
      </c>
      <c r="B145" s="73"/>
      <c r="C145" s="73"/>
      <c r="D145" s="73"/>
      <c r="E145" s="73"/>
    </row>
    <row r="146" spans="1:5" x14ac:dyDescent="0.35">
      <c r="A146" s="74" t="e">
        <f>D133/B5</f>
        <v>#DIV/0!</v>
      </c>
      <c r="B146" s="73"/>
      <c r="C146" s="73"/>
      <c r="D146" s="73"/>
      <c r="E146" s="73"/>
    </row>
    <row r="149" spans="1:5" x14ac:dyDescent="0.35">
      <c r="A149" s="73" t="s">
        <v>257</v>
      </c>
      <c r="B149" s="73"/>
      <c r="C149" s="73"/>
      <c r="D149" s="73"/>
      <c r="E149" s="73"/>
    </row>
    <row r="150" spans="1:5" x14ac:dyDescent="0.35">
      <c r="A150" s="74" t="e">
        <f>D131/B6</f>
        <v>#DIV/0!</v>
      </c>
      <c r="B150" s="74"/>
      <c r="C150" s="74"/>
      <c r="D150" s="74"/>
      <c r="E150" s="74"/>
    </row>
    <row r="153" spans="1:5" x14ac:dyDescent="0.35">
      <c r="A153" s="73" t="s">
        <v>258</v>
      </c>
      <c r="B153" s="73"/>
      <c r="C153" s="73"/>
      <c r="D153" s="73"/>
      <c r="E153" s="73"/>
    </row>
    <row r="154" spans="1:5" x14ac:dyDescent="0.35">
      <c r="A154" s="74" t="e">
        <f>D133/B6</f>
        <v>#DIV/0!</v>
      </c>
      <c r="B154" s="74"/>
      <c r="C154" s="74"/>
      <c r="D154" s="74"/>
      <c r="E154" s="74"/>
    </row>
  </sheetData>
  <mergeCells count="16">
    <mergeCell ref="F108:G108"/>
    <mergeCell ref="A141:E141"/>
    <mergeCell ref="A142:E142"/>
    <mergeCell ref="A145:E145"/>
    <mergeCell ref="F135:I135"/>
    <mergeCell ref="F122:I125"/>
    <mergeCell ref="A1:D1"/>
    <mergeCell ref="A137:E137"/>
    <mergeCell ref="A138:E138"/>
    <mergeCell ref="A139:E139"/>
    <mergeCell ref="C5:C6"/>
    <mergeCell ref="A149:E149"/>
    <mergeCell ref="A150:E150"/>
    <mergeCell ref="A153:E153"/>
    <mergeCell ref="A154:E154"/>
    <mergeCell ref="A146:E146"/>
  </mergeCells>
  <pageMargins left="0.7" right="0.7" top="0.75" bottom="0.75" header="0.3" footer="0.3"/>
  <pageSetup orientation="portrait" r:id="rId1"/>
  <ignoredErrors>
    <ignoredError sqref="E114:E115 C125 D133 D118 B104 B108 B100" unlockedFormula="1"/>
    <ignoredError sqref="A139" evalError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03EE8AE-AFA9-4C09-9773-A402C556521F}">
          <x14:formula1>
            <xm:f>'CITY TAX RATES'!$A$2:$A$94</xm:f>
          </x14:formula1>
          <xm:sqref>B128</xm:sqref>
        </x14:dataValidation>
        <x14:dataValidation type="list" allowBlank="1" showInputMessage="1" showErrorMessage="1" xr:uid="{12AFB66D-B435-4AE9-9640-EAA43282BEF2}">
          <x14:formula1>
            <xm:f>'MARK UPS WITH OR WITHOUT SOLAR'!$A$6:$A$7</xm:f>
          </x14:formula1>
          <xm:sqref>B4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C4C16-8E20-4A51-A96A-A0407CB5BBEC}">
  <dimension ref="A1:G94"/>
  <sheetViews>
    <sheetView workbookViewId="0">
      <selection activeCell="A95" sqref="A95"/>
    </sheetView>
  </sheetViews>
  <sheetFormatPr defaultRowHeight="14.5" x14ac:dyDescent="0.35"/>
  <cols>
    <col min="1" max="1" width="30.6328125" style="1" customWidth="1"/>
    <col min="2" max="2" width="19.08984375" style="4" customWidth="1"/>
    <col min="3" max="3" width="11.08984375" style="1" bestFit="1" customWidth="1"/>
    <col min="4" max="4" width="15.90625" style="3" bestFit="1" customWidth="1"/>
    <col min="5" max="5" width="7.90625" style="1" bestFit="1" customWidth="1"/>
    <col min="6" max="6" width="13.6328125" style="3" bestFit="1" customWidth="1"/>
    <col min="7" max="7" width="13.90625" style="1" bestFit="1" customWidth="1"/>
  </cols>
  <sheetData>
    <row r="1" spans="1:7" x14ac:dyDescent="0.35">
      <c r="A1" s="1" t="s">
        <v>90</v>
      </c>
      <c r="B1" s="4" t="s">
        <v>106</v>
      </c>
      <c r="C1" s="1" t="s">
        <v>92</v>
      </c>
      <c r="D1" s="3" t="s">
        <v>107</v>
      </c>
      <c r="E1" s="1" t="s">
        <v>91</v>
      </c>
      <c r="F1" s="3" t="s">
        <v>108</v>
      </c>
      <c r="G1" s="1" t="s">
        <v>109</v>
      </c>
    </row>
    <row r="2" spans="1:7" x14ac:dyDescent="0.35">
      <c r="A2" s="1" t="s">
        <v>110</v>
      </c>
      <c r="B2" s="5">
        <v>2.4E-2</v>
      </c>
      <c r="C2" s="2" t="s">
        <v>94</v>
      </c>
      <c r="D2" s="5">
        <v>1.0999999999999999E-2</v>
      </c>
      <c r="E2" s="1" t="s">
        <v>93</v>
      </c>
      <c r="F2" s="4">
        <v>5.6000000000000001E-2</v>
      </c>
      <c r="G2" s="2">
        <f t="shared" ref="G2:G33" si="0">SUM(B2,D2,F2)</f>
        <v>9.0999999999999998E-2</v>
      </c>
    </row>
    <row r="3" spans="1:7" x14ac:dyDescent="0.35">
      <c r="A3" s="1" t="s">
        <v>111</v>
      </c>
      <c r="B3" s="5">
        <v>2.5000000000000001E-2</v>
      </c>
      <c r="C3" s="2" t="s">
        <v>88</v>
      </c>
      <c r="D3" s="5">
        <v>7.0000000000000001E-3</v>
      </c>
      <c r="E3" s="1" t="s">
        <v>93</v>
      </c>
      <c r="F3" s="4">
        <v>5.6000000000000001E-2</v>
      </c>
      <c r="G3" s="2">
        <f t="shared" si="0"/>
        <v>8.7999999999999995E-2</v>
      </c>
    </row>
    <row r="4" spans="1:7" x14ac:dyDescent="0.35">
      <c r="A4" s="1" t="s">
        <v>112</v>
      </c>
      <c r="B4" s="5">
        <v>3.5000000000000003E-2</v>
      </c>
      <c r="C4" s="2" t="s">
        <v>95</v>
      </c>
      <c r="D4" s="5">
        <v>0.01</v>
      </c>
      <c r="E4" s="1" t="s">
        <v>93</v>
      </c>
      <c r="F4" s="4">
        <v>5.6000000000000001E-2</v>
      </c>
      <c r="G4" s="2">
        <f t="shared" si="0"/>
        <v>0.10100000000000001</v>
      </c>
    </row>
    <row r="5" spans="1:7" x14ac:dyDescent="0.35">
      <c r="A5" s="1" t="s">
        <v>113</v>
      </c>
      <c r="B5" s="5">
        <v>3.5000000000000003E-2</v>
      </c>
      <c r="C5" s="2" t="s">
        <v>95</v>
      </c>
      <c r="D5" s="5">
        <v>0.01</v>
      </c>
      <c r="E5" s="1" t="s">
        <v>93</v>
      </c>
      <c r="F5" s="4">
        <v>5.6000000000000001E-2</v>
      </c>
      <c r="G5" s="2">
        <f t="shared" si="0"/>
        <v>0.10100000000000001</v>
      </c>
    </row>
    <row r="6" spans="1:7" x14ac:dyDescent="0.35">
      <c r="A6" s="1" t="s">
        <v>114</v>
      </c>
      <c r="B6" s="5">
        <v>0.03</v>
      </c>
      <c r="C6" s="2" t="s">
        <v>88</v>
      </c>
      <c r="D6" s="5">
        <v>7.0000000000000001E-3</v>
      </c>
      <c r="E6" s="1" t="s">
        <v>93</v>
      </c>
      <c r="F6" s="4">
        <v>5.6000000000000001E-2</v>
      </c>
      <c r="G6" s="2">
        <f t="shared" si="0"/>
        <v>9.2999999999999999E-2</v>
      </c>
    </row>
    <row r="7" spans="1:7" x14ac:dyDescent="0.35">
      <c r="A7" s="1" t="s">
        <v>115</v>
      </c>
      <c r="B7" s="5">
        <v>0.02</v>
      </c>
      <c r="C7" s="2" t="s">
        <v>96</v>
      </c>
      <c r="D7" s="5">
        <v>0</v>
      </c>
      <c r="E7" s="1" t="s">
        <v>93</v>
      </c>
      <c r="F7" s="4">
        <v>5.6000000000000001E-2</v>
      </c>
      <c r="G7" s="2">
        <f t="shared" si="0"/>
        <v>7.5999999999999998E-2</v>
      </c>
    </row>
    <row r="8" spans="1:7" x14ac:dyDescent="0.35">
      <c r="A8" s="1" t="s">
        <v>116</v>
      </c>
      <c r="B8" s="5">
        <v>3.6499999999999998E-2</v>
      </c>
      <c r="C8" s="2" t="s">
        <v>97</v>
      </c>
      <c r="D8" s="5">
        <v>7.4999999999999997E-3</v>
      </c>
      <c r="E8" s="1" t="s">
        <v>93</v>
      </c>
      <c r="F8" s="4">
        <v>5.6000000000000001E-2</v>
      </c>
      <c r="G8" s="2">
        <f t="shared" si="0"/>
        <v>0.1</v>
      </c>
    </row>
    <row r="9" spans="1:7" x14ac:dyDescent="0.35">
      <c r="A9" s="1" t="s">
        <v>117</v>
      </c>
      <c r="B9" s="5">
        <v>0.03</v>
      </c>
      <c r="C9" s="1" t="s">
        <v>88</v>
      </c>
      <c r="D9" s="5">
        <v>7.0000000000000001E-3</v>
      </c>
      <c r="E9" s="1" t="s">
        <v>93</v>
      </c>
      <c r="F9" s="4">
        <v>5.6000000000000001E-2</v>
      </c>
      <c r="G9" s="2">
        <f t="shared" si="0"/>
        <v>9.2999999999999999E-2</v>
      </c>
    </row>
    <row r="10" spans="1:7" x14ac:dyDescent="0.35">
      <c r="A10" s="1" t="s">
        <v>118</v>
      </c>
      <c r="B10" s="5">
        <v>0.02</v>
      </c>
      <c r="C10" s="1" t="s">
        <v>94</v>
      </c>
      <c r="D10" s="5">
        <v>1.0999999999999999E-2</v>
      </c>
      <c r="E10" s="1" t="s">
        <v>93</v>
      </c>
      <c r="F10" s="4">
        <v>5.6000000000000001E-2</v>
      </c>
      <c r="G10" s="2">
        <f t="shared" si="0"/>
        <v>8.6999999999999994E-2</v>
      </c>
    </row>
    <row r="11" spans="1:7" x14ac:dyDescent="0.35">
      <c r="A11" s="1" t="s">
        <v>119</v>
      </c>
      <c r="B11" s="5">
        <v>0.03</v>
      </c>
      <c r="C11" s="1" t="s">
        <v>88</v>
      </c>
      <c r="D11" s="5">
        <v>7.0000000000000001E-3</v>
      </c>
      <c r="E11" s="1" t="s">
        <v>93</v>
      </c>
      <c r="F11" s="4">
        <v>5.6000000000000001E-2</v>
      </c>
      <c r="G11" s="2">
        <f t="shared" si="0"/>
        <v>9.2999999999999999E-2</v>
      </c>
    </row>
    <row r="12" spans="1:7" x14ac:dyDescent="0.35">
      <c r="A12" s="1" t="s">
        <v>120</v>
      </c>
      <c r="B12" s="5">
        <v>1.4999999999999999E-2</v>
      </c>
      <c r="C12" s="1" t="s">
        <v>88</v>
      </c>
      <c r="D12" s="5">
        <v>7.0000000000000001E-3</v>
      </c>
      <c r="E12" s="1" t="s">
        <v>93</v>
      </c>
      <c r="F12" s="4">
        <v>5.6000000000000001E-2</v>
      </c>
      <c r="G12" s="2">
        <f t="shared" si="0"/>
        <v>7.8E-2</v>
      </c>
    </row>
    <row r="13" spans="1:7" x14ac:dyDescent="0.35">
      <c r="A13" s="1" t="s">
        <v>121</v>
      </c>
      <c r="B13" s="5">
        <v>0.04</v>
      </c>
      <c r="C13" s="1" t="s">
        <v>97</v>
      </c>
      <c r="D13" s="5">
        <v>7.4999999999999997E-3</v>
      </c>
      <c r="E13" s="1" t="s">
        <v>93</v>
      </c>
      <c r="F13" s="4">
        <v>5.6000000000000001E-2</v>
      </c>
      <c r="G13" s="2">
        <f t="shared" si="0"/>
        <v>0.10350000000000001</v>
      </c>
    </row>
    <row r="14" spans="1:7" x14ac:dyDescent="0.35">
      <c r="A14" s="1" t="s">
        <v>122</v>
      </c>
      <c r="B14" s="5">
        <v>3.5000000000000003E-2</v>
      </c>
      <c r="C14" s="1" t="s">
        <v>97</v>
      </c>
      <c r="D14" s="5">
        <v>7.4999999999999997E-3</v>
      </c>
      <c r="E14" s="1" t="s">
        <v>93</v>
      </c>
      <c r="F14" s="4">
        <v>5.6000000000000001E-2</v>
      </c>
      <c r="G14" s="2">
        <f t="shared" si="0"/>
        <v>9.8500000000000004E-2</v>
      </c>
    </row>
    <row r="15" spans="1:7" x14ac:dyDescent="0.35">
      <c r="A15" s="1" t="s">
        <v>123</v>
      </c>
      <c r="B15" s="5">
        <v>0.03</v>
      </c>
      <c r="C15" s="1" t="s">
        <v>98</v>
      </c>
      <c r="D15" s="5">
        <v>5.0000000000000001E-3</v>
      </c>
      <c r="E15" s="1" t="s">
        <v>93</v>
      </c>
      <c r="F15" s="4">
        <v>5.6000000000000001E-2</v>
      </c>
      <c r="G15" s="2">
        <f t="shared" si="0"/>
        <v>9.0999999999999998E-2</v>
      </c>
    </row>
    <row r="16" spans="1:7" x14ac:dyDescent="0.35">
      <c r="A16" s="1" t="s">
        <v>124</v>
      </c>
      <c r="B16" s="5">
        <v>0.03</v>
      </c>
      <c r="C16" s="1" t="s">
        <v>96</v>
      </c>
      <c r="D16" s="5">
        <v>0</v>
      </c>
      <c r="E16" s="1" t="s">
        <v>93</v>
      </c>
      <c r="F16" s="4">
        <v>5.6000000000000001E-2</v>
      </c>
      <c r="G16" s="2">
        <f t="shared" si="0"/>
        <v>8.5999999999999993E-2</v>
      </c>
    </row>
    <row r="17" spans="1:7" x14ac:dyDescent="0.35">
      <c r="A17" s="1" t="s">
        <v>125</v>
      </c>
      <c r="B17" s="5">
        <v>0.03</v>
      </c>
      <c r="C17" s="1" t="s">
        <v>94</v>
      </c>
      <c r="D17" s="5">
        <v>1.0999999999999999E-2</v>
      </c>
      <c r="E17" s="1" t="s">
        <v>93</v>
      </c>
      <c r="F17" s="4">
        <v>5.6000000000000001E-2</v>
      </c>
      <c r="G17" s="2">
        <f t="shared" si="0"/>
        <v>9.7000000000000003E-2</v>
      </c>
    </row>
    <row r="18" spans="1:7" x14ac:dyDescent="0.35">
      <c r="A18" s="1" t="s">
        <v>126</v>
      </c>
      <c r="B18" s="5">
        <v>3.5000000000000003E-2</v>
      </c>
      <c r="C18" s="1" t="s">
        <v>97</v>
      </c>
      <c r="D18" s="5">
        <v>7.4999999999999997E-3</v>
      </c>
      <c r="E18" s="1" t="s">
        <v>93</v>
      </c>
      <c r="F18" s="4">
        <v>5.6000000000000001E-2</v>
      </c>
      <c r="G18" s="2">
        <f t="shared" si="0"/>
        <v>9.8500000000000004E-2</v>
      </c>
    </row>
    <row r="19" spans="1:7" x14ac:dyDescent="0.35">
      <c r="A19" s="1" t="s">
        <v>127</v>
      </c>
      <c r="B19" s="5">
        <v>0.02</v>
      </c>
      <c r="C19" s="1" t="s">
        <v>97</v>
      </c>
      <c r="D19" s="5">
        <v>7.4999999999999997E-3</v>
      </c>
      <c r="E19" s="1" t="s">
        <v>93</v>
      </c>
      <c r="F19" s="4">
        <v>5.6000000000000001E-2</v>
      </c>
      <c r="G19" s="2">
        <f t="shared" si="0"/>
        <v>8.3500000000000005E-2</v>
      </c>
    </row>
    <row r="20" spans="1:7" x14ac:dyDescent="0.35">
      <c r="A20" s="1" t="s">
        <v>128</v>
      </c>
      <c r="B20" s="5">
        <v>3.7999999999999999E-2</v>
      </c>
      <c r="C20" s="1" t="s">
        <v>95</v>
      </c>
      <c r="D20" s="5">
        <v>0.01</v>
      </c>
      <c r="E20" s="1" t="s">
        <v>93</v>
      </c>
      <c r="F20" s="4">
        <v>5.6000000000000001E-2</v>
      </c>
      <c r="G20" s="2">
        <f t="shared" si="0"/>
        <v>0.10400000000000001</v>
      </c>
    </row>
    <row r="21" spans="1:7" x14ac:dyDescent="0.35">
      <c r="A21" s="1" t="s">
        <v>129</v>
      </c>
      <c r="B21" s="4">
        <v>0.02</v>
      </c>
      <c r="C21" s="1" t="s">
        <v>98</v>
      </c>
      <c r="D21" s="5">
        <v>5.0000000000000001E-3</v>
      </c>
      <c r="E21" s="1" t="s">
        <v>93</v>
      </c>
      <c r="F21" s="4">
        <v>5.6000000000000001E-2</v>
      </c>
      <c r="G21" s="2">
        <f t="shared" si="0"/>
        <v>8.1000000000000003E-2</v>
      </c>
    </row>
    <row r="22" spans="1:7" x14ac:dyDescent="0.35">
      <c r="A22" s="1" t="s">
        <v>223</v>
      </c>
      <c r="B22" s="4">
        <v>0.03</v>
      </c>
      <c r="C22" s="1" t="s">
        <v>99</v>
      </c>
      <c r="D22" s="5">
        <v>5.0000000000000001E-3</v>
      </c>
      <c r="E22" s="1" t="s">
        <v>93</v>
      </c>
      <c r="F22" s="4">
        <v>5.6000000000000001E-2</v>
      </c>
      <c r="G22" s="2">
        <f t="shared" si="0"/>
        <v>9.0999999999999998E-2</v>
      </c>
    </row>
    <row r="23" spans="1:7" x14ac:dyDescent="0.35">
      <c r="A23" s="1" t="s">
        <v>130</v>
      </c>
      <c r="B23" s="4">
        <v>0.03</v>
      </c>
      <c r="C23" s="1" t="s">
        <v>88</v>
      </c>
      <c r="D23" s="5">
        <v>7.0000000000000001E-3</v>
      </c>
      <c r="E23" s="1" t="s">
        <v>93</v>
      </c>
      <c r="F23" s="4">
        <v>5.6000000000000001E-2</v>
      </c>
      <c r="G23" s="2">
        <f t="shared" si="0"/>
        <v>9.2999999999999999E-2</v>
      </c>
    </row>
    <row r="24" spans="1:7" x14ac:dyDescent="0.35">
      <c r="A24" s="1" t="s">
        <v>131</v>
      </c>
      <c r="B24" s="4">
        <v>0.03</v>
      </c>
      <c r="C24" s="1" t="s">
        <v>94</v>
      </c>
      <c r="D24" s="5">
        <v>1.0999999999999999E-2</v>
      </c>
      <c r="E24" s="1" t="s">
        <v>93</v>
      </c>
      <c r="F24" s="4">
        <v>5.6000000000000001E-2</v>
      </c>
      <c r="G24" s="2">
        <f t="shared" si="0"/>
        <v>9.7000000000000003E-2</v>
      </c>
    </row>
    <row r="25" spans="1:7" x14ac:dyDescent="0.35">
      <c r="A25" s="1" t="s">
        <v>132</v>
      </c>
      <c r="B25" s="6">
        <v>2.486E-2</v>
      </c>
      <c r="C25" s="1" t="s">
        <v>100</v>
      </c>
      <c r="D25" s="5">
        <v>1.2999999999999999E-2</v>
      </c>
      <c r="E25" s="1" t="s">
        <v>93</v>
      </c>
      <c r="F25" s="4">
        <v>5.6000000000000001E-2</v>
      </c>
      <c r="G25" s="7">
        <f t="shared" si="0"/>
        <v>9.3859999999999999E-2</v>
      </c>
    </row>
    <row r="26" spans="1:7" x14ac:dyDescent="0.35">
      <c r="A26" s="1" t="s">
        <v>224</v>
      </c>
      <c r="B26" s="4">
        <v>3.5000000000000003E-2</v>
      </c>
      <c r="C26" s="1" t="s">
        <v>94</v>
      </c>
      <c r="D26" s="5">
        <v>1.0999999999999999E-2</v>
      </c>
      <c r="E26" s="1" t="s">
        <v>93</v>
      </c>
      <c r="F26" s="4">
        <v>5.6000000000000001E-2</v>
      </c>
      <c r="G26" s="2">
        <f t="shared" si="0"/>
        <v>0.10200000000000001</v>
      </c>
    </row>
    <row r="27" spans="1:7" x14ac:dyDescent="0.35">
      <c r="A27" s="1" t="s">
        <v>133</v>
      </c>
      <c r="B27" s="4">
        <v>2.9000000000000001E-2</v>
      </c>
      <c r="C27" s="1" t="s">
        <v>88</v>
      </c>
      <c r="D27" s="5">
        <v>7.0000000000000001E-3</v>
      </c>
      <c r="E27" s="1" t="s">
        <v>93</v>
      </c>
      <c r="F27" s="4">
        <v>5.6000000000000001E-2</v>
      </c>
      <c r="G27" s="2">
        <f t="shared" si="0"/>
        <v>9.1999999999999998E-2</v>
      </c>
    </row>
    <row r="28" spans="1:7" x14ac:dyDescent="0.35">
      <c r="A28" s="1" t="s">
        <v>134</v>
      </c>
      <c r="B28" s="4">
        <v>0.04</v>
      </c>
      <c r="C28" s="1" t="s">
        <v>100</v>
      </c>
      <c r="D28" s="5">
        <v>1.2999999999999999E-2</v>
      </c>
      <c r="E28" s="1" t="s">
        <v>93</v>
      </c>
      <c r="F28" s="4">
        <v>5.6000000000000001E-2</v>
      </c>
      <c r="G28" s="2">
        <f t="shared" si="0"/>
        <v>0.109</v>
      </c>
    </row>
    <row r="29" spans="1:7" x14ac:dyDescent="0.35">
      <c r="A29" s="1" t="s">
        <v>135</v>
      </c>
      <c r="B29" s="4">
        <v>3.5000000000000003E-2</v>
      </c>
      <c r="C29" s="1" t="s">
        <v>88</v>
      </c>
      <c r="D29" s="5">
        <v>7.0000000000000001E-3</v>
      </c>
      <c r="E29" s="1" t="s">
        <v>93</v>
      </c>
      <c r="F29" s="4">
        <v>5.6000000000000001E-2</v>
      </c>
      <c r="G29" s="2">
        <f t="shared" si="0"/>
        <v>9.8000000000000004E-2</v>
      </c>
    </row>
    <row r="30" spans="1:7" x14ac:dyDescent="0.35">
      <c r="A30" s="1" t="s">
        <v>136</v>
      </c>
      <c r="B30" s="4">
        <v>0.02</v>
      </c>
      <c r="C30" s="1" t="s">
        <v>88</v>
      </c>
      <c r="D30" s="5">
        <v>7.0000000000000001E-3</v>
      </c>
      <c r="E30" s="1" t="s">
        <v>93</v>
      </c>
      <c r="F30" s="4">
        <v>5.6000000000000001E-2</v>
      </c>
      <c r="G30" s="2">
        <f t="shared" si="0"/>
        <v>8.3000000000000004E-2</v>
      </c>
    </row>
    <row r="31" spans="1:7" x14ac:dyDescent="0.35">
      <c r="A31" s="1" t="s">
        <v>137</v>
      </c>
      <c r="B31" s="4">
        <v>2.9000000000000001E-2</v>
      </c>
      <c r="C31" s="1" t="s">
        <v>88</v>
      </c>
      <c r="D31" s="5">
        <v>7.0000000000000001E-3</v>
      </c>
      <c r="E31" s="1" t="s">
        <v>93</v>
      </c>
      <c r="F31" s="4">
        <v>5.6000000000000001E-2</v>
      </c>
      <c r="G31" s="2">
        <f t="shared" si="0"/>
        <v>9.1999999999999998E-2</v>
      </c>
    </row>
    <row r="32" spans="1:7" x14ac:dyDescent="0.35">
      <c r="A32" s="1" t="s">
        <v>138</v>
      </c>
      <c r="B32" s="4">
        <v>3.3000000000000002E-2</v>
      </c>
      <c r="C32" s="1" t="s">
        <v>101</v>
      </c>
      <c r="D32" s="5">
        <v>0.01</v>
      </c>
      <c r="E32" s="1" t="s">
        <v>93</v>
      </c>
      <c r="F32" s="4">
        <v>5.6000000000000001E-2</v>
      </c>
      <c r="G32" s="2">
        <f t="shared" si="0"/>
        <v>9.9000000000000005E-2</v>
      </c>
    </row>
    <row r="33" spans="1:7" x14ac:dyDescent="0.35">
      <c r="A33" s="1" t="s">
        <v>139</v>
      </c>
      <c r="B33" s="4">
        <v>2.5000000000000001E-2</v>
      </c>
      <c r="C33" s="1" t="s">
        <v>88</v>
      </c>
      <c r="D33" s="5">
        <v>7.0000000000000001E-3</v>
      </c>
      <c r="E33" s="1" t="s">
        <v>93</v>
      </c>
      <c r="F33" s="4">
        <v>5.6000000000000001E-2</v>
      </c>
      <c r="G33" s="2">
        <f t="shared" si="0"/>
        <v>8.7999999999999995E-2</v>
      </c>
    </row>
    <row r="34" spans="1:7" x14ac:dyDescent="0.35">
      <c r="A34" s="1" t="s">
        <v>140</v>
      </c>
      <c r="B34" s="4">
        <v>0.04</v>
      </c>
      <c r="C34" s="1" t="s">
        <v>88</v>
      </c>
      <c r="D34" s="5">
        <v>7.0000000000000001E-3</v>
      </c>
      <c r="E34" s="1" t="s">
        <v>93</v>
      </c>
      <c r="F34" s="4">
        <v>5.6000000000000001E-2</v>
      </c>
      <c r="G34" s="2">
        <f t="shared" ref="G34:G65" si="1">SUM(B34,D34,F34)</f>
        <v>0.10300000000000001</v>
      </c>
    </row>
    <row r="35" spans="1:7" x14ac:dyDescent="0.35">
      <c r="A35" s="1" t="s">
        <v>141</v>
      </c>
      <c r="B35" s="4">
        <v>0.03</v>
      </c>
      <c r="C35" s="1" t="s">
        <v>101</v>
      </c>
      <c r="D35" s="5">
        <v>0.01</v>
      </c>
      <c r="E35" s="1" t="s">
        <v>93</v>
      </c>
      <c r="F35" s="4">
        <v>5.6000000000000001E-2</v>
      </c>
      <c r="G35" s="2">
        <f t="shared" si="1"/>
        <v>9.6000000000000002E-2</v>
      </c>
    </row>
    <row r="36" spans="1:7" x14ac:dyDescent="0.35">
      <c r="A36" s="1" t="s">
        <v>142</v>
      </c>
      <c r="B36" s="4">
        <v>0.03</v>
      </c>
      <c r="C36" s="1" t="s">
        <v>102</v>
      </c>
      <c r="D36" s="5">
        <v>8.3000000000000001E-3</v>
      </c>
      <c r="E36" s="1" t="s">
        <v>93</v>
      </c>
      <c r="F36" s="4">
        <v>5.6000000000000001E-2</v>
      </c>
      <c r="G36" s="2">
        <f t="shared" si="1"/>
        <v>9.4299999999999995E-2</v>
      </c>
    </row>
    <row r="37" spans="1:7" x14ac:dyDescent="0.35">
      <c r="A37" s="1" t="s">
        <v>143</v>
      </c>
      <c r="B37" s="4">
        <v>1.9E-2</v>
      </c>
      <c r="C37" s="1" t="s">
        <v>95</v>
      </c>
      <c r="D37" s="5">
        <v>0.01</v>
      </c>
      <c r="E37" s="1" t="s">
        <v>93</v>
      </c>
      <c r="F37" s="4">
        <v>5.6000000000000001E-2</v>
      </c>
      <c r="G37" s="2">
        <f t="shared" si="1"/>
        <v>8.4999999999999992E-2</v>
      </c>
    </row>
    <row r="38" spans="1:7" x14ac:dyDescent="0.35">
      <c r="A38" s="1" t="s">
        <v>144</v>
      </c>
      <c r="B38" s="4">
        <v>3.5000000000000003E-2</v>
      </c>
      <c r="C38" s="1" t="s">
        <v>97</v>
      </c>
      <c r="D38" s="5">
        <v>7.4999999999999997E-3</v>
      </c>
      <c r="E38" s="1" t="s">
        <v>93</v>
      </c>
      <c r="F38" s="4">
        <v>5.6000000000000001E-2</v>
      </c>
      <c r="G38" s="2">
        <f t="shared" si="1"/>
        <v>9.8500000000000004E-2</v>
      </c>
    </row>
    <row r="39" spans="1:7" x14ac:dyDescent="0.35">
      <c r="A39" s="1" t="s">
        <v>145</v>
      </c>
      <c r="B39" s="4">
        <v>0.04</v>
      </c>
      <c r="C39" s="1" t="s">
        <v>94</v>
      </c>
      <c r="D39" s="5">
        <v>1.0999999999999999E-2</v>
      </c>
      <c r="E39" s="1" t="s">
        <v>93</v>
      </c>
      <c r="F39" s="4">
        <v>5.6000000000000001E-2</v>
      </c>
      <c r="G39" s="2">
        <f t="shared" si="1"/>
        <v>0.10700000000000001</v>
      </c>
    </row>
    <row r="40" spans="1:7" x14ac:dyDescent="0.35">
      <c r="A40" s="1" t="s">
        <v>146</v>
      </c>
      <c r="B40" s="4">
        <v>2.5000000000000001E-2</v>
      </c>
      <c r="C40" s="1" t="s">
        <v>96</v>
      </c>
      <c r="D40" s="5">
        <v>0</v>
      </c>
      <c r="E40" s="1" t="s">
        <v>93</v>
      </c>
      <c r="F40" s="4">
        <v>5.6000000000000001E-2</v>
      </c>
      <c r="G40" s="2">
        <f t="shared" si="1"/>
        <v>8.1000000000000003E-2</v>
      </c>
    </row>
    <row r="41" spans="1:7" x14ac:dyDescent="0.35">
      <c r="A41" s="1" t="s">
        <v>147</v>
      </c>
      <c r="B41" s="4">
        <v>0.02</v>
      </c>
      <c r="C41" s="1" t="s">
        <v>96</v>
      </c>
      <c r="D41" s="5">
        <v>0</v>
      </c>
      <c r="E41" s="1" t="s">
        <v>93</v>
      </c>
      <c r="F41" s="4">
        <v>5.6000000000000001E-2</v>
      </c>
      <c r="G41" s="2">
        <f t="shared" si="1"/>
        <v>7.5999999999999998E-2</v>
      </c>
    </row>
    <row r="42" spans="1:7" x14ac:dyDescent="0.35">
      <c r="A42" s="1" t="s">
        <v>148</v>
      </c>
      <c r="B42" s="4">
        <v>2.8000000000000001E-2</v>
      </c>
      <c r="C42" s="1" t="s">
        <v>88</v>
      </c>
      <c r="D42" s="5">
        <v>7.0000000000000001E-3</v>
      </c>
      <c r="E42" s="1" t="s">
        <v>93</v>
      </c>
      <c r="F42" s="4">
        <v>5.6000000000000001E-2</v>
      </c>
      <c r="G42" s="2">
        <f t="shared" si="1"/>
        <v>9.0999999999999998E-2</v>
      </c>
    </row>
    <row r="43" spans="1:7" x14ac:dyDescent="0.35">
      <c r="A43" s="1" t="s">
        <v>149</v>
      </c>
      <c r="B43" s="4">
        <v>0.04</v>
      </c>
      <c r="C43" s="1" t="s">
        <v>94</v>
      </c>
      <c r="D43" s="5">
        <v>1.0999999999999999E-2</v>
      </c>
      <c r="E43" s="1" t="s">
        <v>93</v>
      </c>
      <c r="F43" s="4">
        <v>5.6000000000000001E-2</v>
      </c>
      <c r="G43" s="2">
        <f t="shared" si="1"/>
        <v>0.10700000000000001</v>
      </c>
    </row>
    <row r="44" spans="1:7" x14ac:dyDescent="0.35">
      <c r="A44" s="1" t="s">
        <v>150</v>
      </c>
      <c r="B44" s="4">
        <v>2.5000000000000001E-2</v>
      </c>
      <c r="C44" s="1" t="s">
        <v>89</v>
      </c>
      <c r="D44" s="5">
        <v>5.0000000000000001E-3</v>
      </c>
      <c r="E44" s="1" t="s">
        <v>93</v>
      </c>
      <c r="F44" s="4">
        <v>5.6000000000000001E-2</v>
      </c>
      <c r="G44" s="2">
        <f t="shared" si="1"/>
        <v>8.6000000000000007E-2</v>
      </c>
    </row>
    <row r="45" spans="1:7" x14ac:dyDescent="0.35">
      <c r="A45" s="1" t="s">
        <v>225</v>
      </c>
      <c r="B45" s="4">
        <v>2.5000000000000001E-2</v>
      </c>
      <c r="C45" s="1" t="s">
        <v>94</v>
      </c>
      <c r="D45" s="5">
        <v>1.0999999999999999E-2</v>
      </c>
      <c r="E45" s="1" t="s">
        <v>93</v>
      </c>
      <c r="F45" s="4">
        <v>5.6000000000000001E-2</v>
      </c>
      <c r="G45" s="2">
        <f t="shared" si="1"/>
        <v>9.1999999999999998E-2</v>
      </c>
    </row>
    <row r="46" spans="1:7" x14ac:dyDescent="0.35">
      <c r="A46" s="1" t="s">
        <v>151</v>
      </c>
      <c r="B46" s="4">
        <v>0.02</v>
      </c>
      <c r="C46" s="1" t="s">
        <v>88</v>
      </c>
      <c r="D46" s="5">
        <v>7.0000000000000001E-3</v>
      </c>
      <c r="E46" s="1" t="s">
        <v>93</v>
      </c>
      <c r="F46" s="4">
        <v>5.6000000000000001E-2</v>
      </c>
      <c r="G46" s="2">
        <f t="shared" si="1"/>
        <v>8.3000000000000004E-2</v>
      </c>
    </row>
    <row r="47" spans="1:7" x14ac:dyDescent="0.35">
      <c r="A47" s="1" t="s">
        <v>152</v>
      </c>
      <c r="B47" s="4">
        <v>2.5000000000000001E-2</v>
      </c>
      <c r="C47" s="1" t="s">
        <v>101</v>
      </c>
      <c r="D47" s="5">
        <v>0.01</v>
      </c>
      <c r="E47" s="1" t="s">
        <v>93</v>
      </c>
      <c r="F47" s="4">
        <v>5.6000000000000001E-2</v>
      </c>
      <c r="G47" s="2">
        <f t="shared" si="1"/>
        <v>9.0999999999999998E-2</v>
      </c>
    </row>
    <row r="48" spans="1:7" x14ac:dyDescent="0.35">
      <c r="A48" s="1" t="s">
        <v>153</v>
      </c>
      <c r="B48" s="4">
        <v>0.02</v>
      </c>
      <c r="C48" s="1" t="s">
        <v>103</v>
      </c>
      <c r="D48" s="5">
        <v>0.01</v>
      </c>
      <c r="E48" s="1" t="s">
        <v>93</v>
      </c>
      <c r="F48" s="4">
        <v>5.6000000000000001E-2</v>
      </c>
      <c r="G48" s="2">
        <f t="shared" si="1"/>
        <v>8.5999999999999993E-2</v>
      </c>
    </row>
    <row r="49" spans="1:7" x14ac:dyDescent="0.35">
      <c r="A49" s="1" t="s">
        <v>154</v>
      </c>
      <c r="B49" s="4">
        <v>2.5000000000000001E-2</v>
      </c>
      <c r="C49" s="1" t="s">
        <v>89</v>
      </c>
      <c r="D49" s="5">
        <v>5.0000000000000001E-3</v>
      </c>
      <c r="E49" s="1" t="s">
        <v>93</v>
      </c>
      <c r="F49" s="4">
        <v>5.6000000000000001E-2</v>
      </c>
      <c r="G49" s="2">
        <f t="shared" si="1"/>
        <v>8.6000000000000007E-2</v>
      </c>
    </row>
    <row r="50" spans="1:7" x14ac:dyDescent="0.35">
      <c r="A50" s="1" t="s">
        <v>155</v>
      </c>
      <c r="B50" s="4">
        <v>0.03</v>
      </c>
      <c r="C50" s="1" t="s">
        <v>100</v>
      </c>
      <c r="D50" s="5">
        <v>1.2999999999999999E-2</v>
      </c>
      <c r="E50" s="1" t="s">
        <v>93</v>
      </c>
      <c r="F50" s="4">
        <v>5.6000000000000001E-2</v>
      </c>
      <c r="G50" s="2">
        <f t="shared" si="1"/>
        <v>9.9000000000000005E-2</v>
      </c>
    </row>
    <row r="51" spans="1:7" x14ac:dyDescent="0.35">
      <c r="A51" s="1" t="s">
        <v>156</v>
      </c>
      <c r="B51" s="4">
        <v>2.5000000000000001E-2</v>
      </c>
      <c r="C51" s="1" t="s">
        <v>88</v>
      </c>
      <c r="D51" s="5">
        <v>7.0000000000000001E-3</v>
      </c>
      <c r="E51" s="1" t="s">
        <v>93</v>
      </c>
      <c r="F51" s="4">
        <v>5.6000000000000001E-2</v>
      </c>
      <c r="G51" s="2">
        <f t="shared" si="1"/>
        <v>8.7999999999999995E-2</v>
      </c>
    </row>
    <row r="52" spans="1:7" x14ac:dyDescent="0.35">
      <c r="A52" s="1" t="s">
        <v>226</v>
      </c>
      <c r="B52" s="4">
        <v>0.02</v>
      </c>
      <c r="C52" s="1" t="s">
        <v>104</v>
      </c>
      <c r="D52" s="5">
        <v>0.01</v>
      </c>
      <c r="E52" s="1" t="s">
        <v>93</v>
      </c>
      <c r="F52" s="4">
        <v>5.6000000000000001E-2</v>
      </c>
      <c r="G52" s="2">
        <f t="shared" si="1"/>
        <v>8.5999999999999993E-2</v>
      </c>
    </row>
    <row r="53" spans="1:7" x14ac:dyDescent="0.35">
      <c r="A53" s="1" t="s">
        <v>157</v>
      </c>
      <c r="B53" s="4">
        <v>0.03</v>
      </c>
      <c r="C53" s="1" t="s">
        <v>103</v>
      </c>
      <c r="D53" s="5">
        <v>0.01</v>
      </c>
      <c r="E53" s="1" t="s">
        <v>93</v>
      </c>
      <c r="F53" s="4">
        <v>5.6000000000000001E-2</v>
      </c>
      <c r="G53" s="2">
        <f t="shared" si="1"/>
        <v>9.6000000000000002E-2</v>
      </c>
    </row>
    <row r="54" spans="1:7" x14ac:dyDescent="0.35">
      <c r="A54" s="1" t="s">
        <v>158</v>
      </c>
      <c r="B54" s="4">
        <v>3.8800000000000001E-2</v>
      </c>
      <c r="C54" s="1" t="s">
        <v>101</v>
      </c>
      <c r="D54" s="5">
        <v>0.01</v>
      </c>
      <c r="E54" s="1" t="s">
        <v>93</v>
      </c>
      <c r="F54" s="4">
        <v>5.6000000000000001E-2</v>
      </c>
      <c r="G54" s="2">
        <f t="shared" si="1"/>
        <v>0.1048</v>
      </c>
    </row>
    <row r="55" spans="1:7" x14ac:dyDescent="0.35">
      <c r="A55" s="1" t="s">
        <v>159</v>
      </c>
      <c r="B55" s="4">
        <v>1.7999999999999999E-2</v>
      </c>
      <c r="C55" s="1" t="s">
        <v>88</v>
      </c>
      <c r="D55" s="5">
        <v>7.0000000000000001E-3</v>
      </c>
      <c r="E55" s="1" t="s">
        <v>93</v>
      </c>
      <c r="F55" s="4">
        <v>5.6000000000000001E-2</v>
      </c>
      <c r="G55" s="2">
        <f t="shared" si="1"/>
        <v>8.1000000000000003E-2</v>
      </c>
    </row>
    <row r="56" spans="1:7" x14ac:dyDescent="0.35">
      <c r="A56" s="1" t="s">
        <v>227</v>
      </c>
      <c r="B56" s="4">
        <v>2.8000000000000001E-2</v>
      </c>
      <c r="C56" s="1" t="s">
        <v>88</v>
      </c>
      <c r="D56" s="5">
        <v>7.0000000000000001E-3</v>
      </c>
      <c r="E56" s="1" t="s">
        <v>93</v>
      </c>
      <c r="F56" s="4">
        <v>5.6000000000000001E-2</v>
      </c>
      <c r="G56" s="2">
        <f t="shared" si="1"/>
        <v>9.0999999999999998E-2</v>
      </c>
    </row>
    <row r="57" spans="1:7" x14ac:dyDescent="0.35">
      <c r="A57" s="1" t="s">
        <v>160</v>
      </c>
      <c r="B57" s="4">
        <v>0.02</v>
      </c>
      <c r="C57" s="1" t="s">
        <v>105</v>
      </c>
      <c r="D57" s="5">
        <v>0.01</v>
      </c>
      <c r="E57" s="1" t="s">
        <v>93</v>
      </c>
      <c r="F57" s="4">
        <v>5.6000000000000001E-2</v>
      </c>
      <c r="G57" s="2">
        <f t="shared" si="1"/>
        <v>8.5999999999999993E-2</v>
      </c>
    </row>
    <row r="58" spans="1:7" x14ac:dyDescent="0.35">
      <c r="A58" s="1" t="s">
        <v>161</v>
      </c>
      <c r="B58" s="4">
        <v>0.03</v>
      </c>
      <c r="C58" s="1" t="s">
        <v>102</v>
      </c>
      <c r="D58" s="5">
        <v>8.3000000000000001E-3</v>
      </c>
      <c r="E58" s="1" t="s">
        <v>93</v>
      </c>
      <c r="F58" s="4">
        <v>5.6000000000000001E-2</v>
      </c>
      <c r="G58" s="2">
        <f t="shared" si="1"/>
        <v>9.4299999999999995E-2</v>
      </c>
    </row>
    <row r="59" spans="1:7" x14ac:dyDescent="0.35">
      <c r="A59" s="1" t="s">
        <v>162</v>
      </c>
      <c r="B59" s="4">
        <v>2.9499999999999998E-2</v>
      </c>
      <c r="C59" s="1" t="s">
        <v>97</v>
      </c>
      <c r="D59" s="5">
        <v>7.4999999999999997E-3</v>
      </c>
      <c r="E59" s="1" t="s">
        <v>93</v>
      </c>
      <c r="F59" s="4">
        <v>5.6000000000000001E-2</v>
      </c>
      <c r="G59" s="2">
        <f t="shared" si="1"/>
        <v>9.2999999999999999E-2</v>
      </c>
    </row>
    <row r="60" spans="1:7" x14ac:dyDescent="0.35">
      <c r="A60" s="1" t="s">
        <v>163</v>
      </c>
      <c r="B60" s="4">
        <v>2.8299999999999999E-2</v>
      </c>
      <c r="C60" s="1" t="s">
        <v>97</v>
      </c>
      <c r="D60" s="5">
        <v>7.4999999999999997E-3</v>
      </c>
      <c r="E60" s="1" t="s">
        <v>93</v>
      </c>
      <c r="F60" s="4">
        <v>5.6000000000000001E-2</v>
      </c>
      <c r="G60" s="2">
        <f t="shared" si="1"/>
        <v>9.1799999999999993E-2</v>
      </c>
    </row>
    <row r="61" spans="1:7" x14ac:dyDescent="0.35">
      <c r="A61" s="1" t="s">
        <v>164</v>
      </c>
      <c r="B61" s="4">
        <v>2.5000000000000001E-2</v>
      </c>
      <c r="C61" s="1" t="s">
        <v>104</v>
      </c>
      <c r="D61" s="5">
        <v>0.01</v>
      </c>
      <c r="E61" s="1" t="s">
        <v>93</v>
      </c>
      <c r="F61" s="4">
        <v>5.6000000000000001E-2</v>
      </c>
      <c r="G61" s="2">
        <f t="shared" si="1"/>
        <v>9.0999999999999998E-2</v>
      </c>
    </row>
    <row r="62" spans="1:7" x14ac:dyDescent="0.35">
      <c r="A62" s="1" t="s">
        <v>165</v>
      </c>
      <c r="B62" s="4">
        <v>2.2499999999999999E-2</v>
      </c>
      <c r="C62" s="1" t="s">
        <v>88</v>
      </c>
      <c r="D62" s="5">
        <v>7.0000000000000001E-3</v>
      </c>
      <c r="E62" s="1" t="s">
        <v>93</v>
      </c>
      <c r="F62" s="4">
        <v>5.6000000000000001E-2</v>
      </c>
      <c r="G62" s="2">
        <f t="shared" si="1"/>
        <v>8.5499999999999993E-2</v>
      </c>
    </row>
    <row r="63" spans="1:7" x14ac:dyDescent="0.35">
      <c r="A63" s="1" t="s">
        <v>166</v>
      </c>
      <c r="B63" s="4">
        <v>2.5000000000000001E-2</v>
      </c>
      <c r="C63" s="1" t="s">
        <v>105</v>
      </c>
      <c r="D63" s="5">
        <v>0.01</v>
      </c>
      <c r="E63" s="1" t="s">
        <v>93</v>
      </c>
      <c r="F63" s="4">
        <v>5.6000000000000001E-2</v>
      </c>
      <c r="G63" s="2">
        <f t="shared" si="1"/>
        <v>9.0999999999999998E-2</v>
      </c>
    </row>
    <row r="64" spans="1:7" x14ac:dyDescent="0.35">
      <c r="A64" s="1" t="s">
        <v>167</v>
      </c>
      <c r="B64" s="4">
        <v>0.02</v>
      </c>
      <c r="C64" s="1" t="s">
        <v>89</v>
      </c>
      <c r="D64" s="5">
        <v>5.0000000000000001E-3</v>
      </c>
      <c r="E64" s="1" t="s">
        <v>93</v>
      </c>
      <c r="F64" s="4">
        <v>5.6000000000000001E-2</v>
      </c>
      <c r="G64" s="2">
        <f t="shared" si="1"/>
        <v>8.1000000000000003E-2</v>
      </c>
    </row>
    <row r="65" spans="1:7" x14ac:dyDescent="0.35">
      <c r="A65" s="1" t="s">
        <v>168</v>
      </c>
      <c r="B65" s="4">
        <v>0.04</v>
      </c>
      <c r="C65" s="1" t="s">
        <v>86</v>
      </c>
      <c r="D65" s="5">
        <v>1.11E-2</v>
      </c>
      <c r="E65" s="1" t="s">
        <v>93</v>
      </c>
      <c r="F65" s="4">
        <v>5.6000000000000001E-2</v>
      </c>
      <c r="G65" s="2">
        <f t="shared" si="1"/>
        <v>0.1071</v>
      </c>
    </row>
    <row r="66" spans="1:7" x14ac:dyDescent="0.35">
      <c r="A66" s="1" t="s">
        <v>228</v>
      </c>
      <c r="B66" s="4">
        <v>1.7000000000000001E-2</v>
      </c>
      <c r="C66" s="1" t="s">
        <v>88</v>
      </c>
      <c r="D66" s="5">
        <v>7.0000000000000001E-3</v>
      </c>
      <c r="E66" s="1" t="s">
        <v>93</v>
      </c>
      <c r="F66" s="4">
        <v>5.6000000000000001E-2</v>
      </c>
      <c r="G66" s="2">
        <f t="shared" ref="G66:G94" si="2">SUM(B66,D66,F66)</f>
        <v>0.08</v>
      </c>
    </row>
    <row r="67" spans="1:7" x14ac:dyDescent="0.35">
      <c r="A67" s="1" t="s">
        <v>169</v>
      </c>
      <c r="B67" s="4">
        <v>3.5000000000000003E-2</v>
      </c>
      <c r="C67" s="1" t="s">
        <v>97</v>
      </c>
      <c r="D67" s="5">
        <v>7.4999999999999997E-3</v>
      </c>
      <c r="E67" s="1" t="s">
        <v>93</v>
      </c>
      <c r="F67" s="4">
        <v>5.6000000000000001E-2</v>
      </c>
      <c r="G67" s="2">
        <f t="shared" si="2"/>
        <v>9.8500000000000004E-2</v>
      </c>
    </row>
    <row r="68" spans="1:7" x14ac:dyDescent="0.35">
      <c r="A68" s="1" t="s">
        <v>170</v>
      </c>
      <c r="B68" s="4">
        <v>0.02</v>
      </c>
      <c r="C68" s="1" t="s">
        <v>102</v>
      </c>
      <c r="D68" s="5">
        <v>8.3000000000000001E-3</v>
      </c>
      <c r="E68" s="1" t="s">
        <v>93</v>
      </c>
      <c r="F68" s="4">
        <v>5.6000000000000001E-2</v>
      </c>
      <c r="G68" s="2">
        <f t="shared" si="2"/>
        <v>8.43E-2</v>
      </c>
    </row>
    <row r="69" spans="1:7" x14ac:dyDescent="0.35">
      <c r="A69" s="1" t="s">
        <v>171</v>
      </c>
      <c r="B69" s="4">
        <v>1.95E-2</v>
      </c>
      <c r="C69" s="1" t="s">
        <v>95</v>
      </c>
      <c r="D69" s="5">
        <v>0.01</v>
      </c>
      <c r="E69" s="1" t="s">
        <v>93</v>
      </c>
      <c r="F69" s="4">
        <v>5.6000000000000001E-2</v>
      </c>
      <c r="G69" s="2">
        <f t="shared" si="2"/>
        <v>8.5499999999999993E-2</v>
      </c>
    </row>
    <row r="70" spans="1:7" x14ac:dyDescent="0.35">
      <c r="A70" s="1" t="s">
        <v>172</v>
      </c>
      <c r="B70" s="4">
        <v>0.03</v>
      </c>
      <c r="C70" s="1" t="s">
        <v>102</v>
      </c>
      <c r="D70" s="5">
        <v>8.3000000000000001E-3</v>
      </c>
      <c r="E70" s="1" t="s">
        <v>93</v>
      </c>
      <c r="F70" s="4">
        <v>5.6000000000000001E-2</v>
      </c>
      <c r="G70" s="2">
        <f t="shared" si="2"/>
        <v>9.4299999999999995E-2</v>
      </c>
    </row>
    <row r="71" spans="1:7" x14ac:dyDescent="0.35">
      <c r="A71" s="1" t="s">
        <v>173</v>
      </c>
      <c r="B71" s="4">
        <v>3.3000000000000002E-2</v>
      </c>
      <c r="C71" s="1" t="s">
        <v>86</v>
      </c>
      <c r="D71" s="5">
        <v>1.11E-2</v>
      </c>
      <c r="E71" s="1" t="s">
        <v>93</v>
      </c>
      <c r="F71" s="4">
        <v>5.6000000000000001E-2</v>
      </c>
      <c r="G71" s="2">
        <f t="shared" si="2"/>
        <v>0.10009999999999999</v>
      </c>
    </row>
    <row r="72" spans="1:7" x14ac:dyDescent="0.35">
      <c r="A72" s="1" t="s">
        <v>174</v>
      </c>
      <c r="B72" s="4">
        <v>0.05</v>
      </c>
      <c r="C72" s="1" t="s">
        <v>89</v>
      </c>
      <c r="D72" s="5">
        <v>5.0000000000000001E-3</v>
      </c>
      <c r="E72" s="1" t="s">
        <v>93</v>
      </c>
      <c r="F72" s="4">
        <v>5.6000000000000001E-2</v>
      </c>
      <c r="G72" s="2">
        <f t="shared" si="2"/>
        <v>0.111</v>
      </c>
    </row>
    <row r="73" spans="1:7" x14ac:dyDescent="0.35">
      <c r="A73" s="1" t="s">
        <v>175</v>
      </c>
      <c r="B73" s="4">
        <v>0.03</v>
      </c>
      <c r="C73" s="1" t="s">
        <v>99</v>
      </c>
      <c r="D73" s="5">
        <v>5.0000000000000001E-3</v>
      </c>
      <c r="E73" s="1" t="s">
        <v>93</v>
      </c>
      <c r="F73" s="4">
        <v>5.6000000000000001E-2</v>
      </c>
      <c r="G73" s="2">
        <f t="shared" si="2"/>
        <v>9.0999999999999998E-2</v>
      </c>
    </row>
    <row r="74" spans="1:7" x14ac:dyDescent="0.35">
      <c r="A74" s="1" t="s">
        <v>176</v>
      </c>
      <c r="B74" s="4">
        <v>0.03</v>
      </c>
      <c r="C74" s="1" t="s">
        <v>99</v>
      </c>
      <c r="D74" s="5">
        <v>5.0000000000000001E-3</v>
      </c>
      <c r="E74" s="1" t="s">
        <v>93</v>
      </c>
      <c r="F74" s="4">
        <v>5.6000000000000001E-2</v>
      </c>
      <c r="G74" s="2">
        <f t="shared" si="2"/>
        <v>9.0999999999999998E-2</v>
      </c>
    </row>
    <row r="75" spans="1:7" x14ac:dyDescent="0.35">
      <c r="A75" s="1" t="s">
        <v>177</v>
      </c>
      <c r="B75" s="4">
        <v>0.02</v>
      </c>
      <c r="C75" s="1" t="s">
        <v>101</v>
      </c>
      <c r="D75" s="5">
        <v>0.01</v>
      </c>
      <c r="E75" s="1" t="s">
        <v>93</v>
      </c>
      <c r="F75" s="4">
        <v>5.6000000000000001E-2</v>
      </c>
      <c r="G75" s="2">
        <f t="shared" si="2"/>
        <v>8.5999999999999993E-2</v>
      </c>
    </row>
    <row r="76" spans="1:7" x14ac:dyDescent="0.35">
      <c r="A76" s="1" t="s">
        <v>214</v>
      </c>
      <c r="B76" s="4">
        <v>0</v>
      </c>
      <c r="C76" s="1" t="s">
        <v>88</v>
      </c>
      <c r="D76" s="5">
        <v>7.0000000000000001E-3</v>
      </c>
      <c r="E76" s="1" t="s">
        <v>93</v>
      </c>
      <c r="F76" s="4">
        <v>5.6000000000000001E-2</v>
      </c>
      <c r="G76" s="2">
        <f t="shared" si="2"/>
        <v>6.3E-2</v>
      </c>
    </row>
    <row r="77" spans="1:7" x14ac:dyDescent="0.35">
      <c r="A77" s="1" t="s">
        <v>178</v>
      </c>
      <c r="B77" s="4">
        <v>0.04</v>
      </c>
      <c r="C77" s="1" t="s">
        <v>94</v>
      </c>
      <c r="D77" s="5">
        <v>1.0999999999999999E-2</v>
      </c>
      <c r="E77" s="1" t="s">
        <v>93</v>
      </c>
      <c r="F77" s="4">
        <v>5.6000000000000001E-2</v>
      </c>
      <c r="G77" s="2">
        <f t="shared" si="2"/>
        <v>0.10700000000000001</v>
      </c>
    </row>
    <row r="78" spans="1:7" x14ac:dyDescent="0.35">
      <c r="A78" s="1" t="s">
        <v>179</v>
      </c>
      <c r="B78" s="4">
        <v>2.8000000000000001E-2</v>
      </c>
      <c r="C78" s="1" t="s">
        <v>88</v>
      </c>
      <c r="D78" s="5">
        <v>7.0000000000000001E-3</v>
      </c>
      <c r="E78" s="1" t="s">
        <v>93</v>
      </c>
      <c r="F78" s="4">
        <v>5.6000000000000001E-2</v>
      </c>
      <c r="G78" s="2">
        <f t="shared" si="2"/>
        <v>9.0999999999999998E-2</v>
      </c>
    </row>
    <row r="79" spans="1:7" x14ac:dyDescent="0.35">
      <c r="A79" s="1" t="s">
        <v>180</v>
      </c>
      <c r="B79" s="4">
        <v>0.03</v>
      </c>
      <c r="C79" s="1" t="s">
        <v>102</v>
      </c>
      <c r="D79" s="5">
        <v>8.3000000000000001E-3</v>
      </c>
      <c r="E79" s="1" t="s">
        <v>93</v>
      </c>
      <c r="F79" s="4">
        <v>5.6000000000000001E-2</v>
      </c>
      <c r="G79" s="2">
        <f t="shared" si="2"/>
        <v>9.4299999999999995E-2</v>
      </c>
    </row>
    <row r="80" spans="1:7" x14ac:dyDescent="0.35">
      <c r="A80" s="1" t="s">
        <v>181</v>
      </c>
      <c r="B80" s="4">
        <v>1.7999999999999999E-2</v>
      </c>
      <c r="C80" s="1" t="s">
        <v>88</v>
      </c>
      <c r="D80" s="5">
        <v>7.0000000000000001E-3</v>
      </c>
      <c r="E80" s="1" t="s">
        <v>93</v>
      </c>
      <c r="F80" s="4">
        <v>5.6000000000000001E-2</v>
      </c>
      <c r="G80" s="2">
        <f t="shared" si="2"/>
        <v>8.1000000000000003E-2</v>
      </c>
    </row>
    <row r="81" spans="1:7" x14ac:dyDescent="0.35">
      <c r="A81" s="1" t="s">
        <v>182</v>
      </c>
      <c r="B81" s="4">
        <v>2.5000000000000001E-2</v>
      </c>
      <c r="C81" s="1" t="s">
        <v>105</v>
      </c>
      <c r="D81" s="5">
        <v>0.01</v>
      </c>
      <c r="E81" s="1" t="s">
        <v>93</v>
      </c>
      <c r="F81" s="4">
        <v>5.6000000000000001E-2</v>
      </c>
      <c r="G81" s="2">
        <f t="shared" si="2"/>
        <v>9.0999999999999998E-2</v>
      </c>
    </row>
    <row r="82" spans="1:7" x14ac:dyDescent="0.35">
      <c r="A82" s="1" t="s">
        <v>183</v>
      </c>
      <c r="B82" s="4">
        <v>2.5000000000000001E-2</v>
      </c>
      <c r="C82" s="1" t="s">
        <v>88</v>
      </c>
      <c r="D82" s="5">
        <v>7.0000000000000001E-3</v>
      </c>
      <c r="E82" s="1" t="s">
        <v>93</v>
      </c>
      <c r="F82" s="4">
        <v>5.6000000000000001E-2</v>
      </c>
      <c r="G82" s="2">
        <f t="shared" si="2"/>
        <v>8.7999999999999995E-2</v>
      </c>
    </row>
    <row r="83" spans="1:7" x14ac:dyDescent="0.35">
      <c r="A83" s="1" t="s">
        <v>184</v>
      </c>
      <c r="B83" s="4">
        <v>3.5000000000000003E-2</v>
      </c>
      <c r="C83" s="1" t="s">
        <v>95</v>
      </c>
      <c r="D83" s="5">
        <v>0.01</v>
      </c>
      <c r="E83" s="1" t="s">
        <v>93</v>
      </c>
      <c r="F83" s="4">
        <v>5.6000000000000001E-2</v>
      </c>
      <c r="G83" s="2">
        <f t="shared" si="2"/>
        <v>0.10100000000000001</v>
      </c>
    </row>
    <row r="84" spans="1:7" x14ac:dyDescent="0.35">
      <c r="A84" s="1" t="s">
        <v>201</v>
      </c>
      <c r="B84" s="4">
        <v>0</v>
      </c>
      <c r="C84" s="1" t="s">
        <v>88</v>
      </c>
      <c r="D84" s="5">
        <v>7.0000000000000001E-3</v>
      </c>
      <c r="E84" s="1" t="s">
        <v>93</v>
      </c>
      <c r="F84" s="4">
        <v>5.6000000000000001E-2</v>
      </c>
      <c r="G84" s="2">
        <f t="shared" si="2"/>
        <v>6.3E-2</v>
      </c>
    </row>
    <row r="85" spans="1:7" x14ac:dyDescent="0.35">
      <c r="A85" s="1" t="s">
        <v>185</v>
      </c>
      <c r="B85" s="4">
        <v>2.5999999999999999E-2</v>
      </c>
      <c r="C85" s="1" t="s">
        <v>89</v>
      </c>
      <c r="D85" s="5">
        <v>5.0000000000000001E-3</v>
      </c>
      <c r="E85" s="1" t="s">
        <v>93</v>
      </c>
      <c r="F85" s="4">
        <v>5.6000000000000001E-2</v>
      </c>
      <c r="G85" s="2">
        <f t="shared" si="2"/>
        <v>8.6999999999999994E-2</v>
      </c>
    </row>
    <row r="86" spans="1:7" x14ac:dyDescent="0.35">
      <c r="A86" s="1" t="s">
        <v>186</v>
      </c>
      <c r="B86" s="4">
        <v>0.02</v>
      </c>
      <c r="C86" s="1" t="s">
        <v>100</v>
      </c>
      <c r="D86" s="5">
        <v>1.2999999999999999E-2</v>
      </c>
      <c r="E86" s="1" t="s">
        <v>93</v>
      </c>
      <c r="F86" s="4">
        <v>5.6000000000000001E-2</v>
      </c>
      <c r="G86" s="2">
        <f t="shared" si="2"/>
        <v>8.8999999999999996E-2</v>
      </c>
    </row>
    <row r="87" spans="1:7" x14ac:dyDescent="0.35">
      <c r="A87" s="1" t="s">
        <v>187</v>
      </c>
      <c r="B87" s="4">
        <v>3.5000000000000003E-2</v>
      </c>
      <c r="C87" s="1" t="s">
        <v>86</v>
      </c>
      <c r="D87" s="5">
        <v>1.11E-2</v>
      </c>
      <c r="E87" s="1" t="s">
        <v>93</v>
      </c>
      <c r="F87" s="4">
        <v>5.6000000000000001E-2</v>
      </c>
      <c r="G87" s="2">
        <f t="shared" si="2"/>
        <v>0.1021</v>
      </c>
    </row>
    <row r="88" spans="1:7" x14ac:dyDescent="0.35">
      <c r="A88" s="1" t="s">
        <v>188</v>
      </c>
      <c r="B88" s="4">
        <v>2.1999999999999999E-2</v>
      </c>
      <c r="C88" s="1" t="s">
        <v>88</v>
      </c>
      <c r="D88" s="5">
        <v>7.0000000000000001E-3</v>
      </c>
      <c r="E88" s="1" t="s">
        <v>93</v>
      </c>
      <c r="F88" s="4">
        <v>5.6000000000000001E-2</v>
      </c>
      <c r="G88" s="2">
        <f t="shared" si="2"/>
        <v>8.4999999999999992E-2</v>
      </c>
    </row>
    <row r="89" spans="1:7" x14ac:dyDescent="0.35">
      <c r="A89" s="1" t="s">
        <v>189</v>
      </c>
      <c r="B89" s="4">
        <v>0.03</v>
      </c>
      <c r="C89" s="1" t="s">
        <v>100</v>
      </c>
      <c r="D89" s="5">
        <v>1.2999999999999999E-2</v>
      </c>
      <c r="E89" s="1" t="s">
        <v>93</v>
      </c>
      <c r="F89" s="4">
        <v>5.6000000000000001E-2</v>
      </c>
      <c r="G89" s="2">
        <f t="shared" si="2"/>
        <v>9.9000000000000005E-2</v>
      </c>
    </row>
    <row r="90" spans="1:7" x14ac:dyDescent="0.35">
      <c r="A90" s="1" t="s">
        <v>190</v>
      </c>
      <c r="B90" s="4">
        <v>3.5000000000000003E-2</v>
      </c>
      <c r="C90" s="1" t="s">
        <v>100</v>
      </c>
      <c r="D90" s="5">
        <v>1.2999999999999999E-2</v>
      </c>
      <c r="E90" s="1" t="s">
        <v>93</v>
      </c>
      <c r="F90" s="4">
        <v>5.6000000000000001E-2</v>
      </c>
      <c r="G90" s="2">
        <f t="shared" si="2"/>
        <v>0.10400000000000001</v>
      </c>
    </row>
    <row r="91" spans="1:7" x14ac:dyDescent="0.35">
      <c r="A91" s="1" t="s">
        <v>191</v>
      </c>
      <c r="B91" s="4">
        <v>3.5000000000000003E-2</v>
      </c>
      <c r="C91" s="1" t="s">
        <v>101</v>
      </c>
      <c r="D91" s="5">
        <v>0.01</v>
      </c>
      <c r="E91" s="1" t="s">
        <v>93</v>
      </c>
      <c r="F91" s="4">
        <v>5.6000000000000001E-2</v>
      </c>
      <c r="G91" s="2">
        <f t="shared" si="2"/>
        <v>0.10100000000000001</v>
      </c>
    </row>
    <row r="92" spans="1:7" x14ac:dyDescent="0.35">
      <c r="A92" s="1" t="s">
        <v>192</v>
      </c>
      <c r="B92" s="4">
        <v>0.03</v>
      </c>
      <c r="C92" s="1" t="s">
        <v>102</v>
      </c>
      <c r="D92" s="5">
        <v>8.3000000000000001E-3</v>
      </c>
      <c r="E92" s="1" t="s">
        <v>93</v>
      </c>
      <c r="F92" s="4">
        <v>5.6000000000000001E-2</v>
      </c>
      <c r="G92" s="2">
        <f t="shared" si="2"/>
        <v>9.4299999999999995E-2</v>
      </c>
    </row>
    <row r="93" spans="1:7" x14ac:dyDescent="0.35">
      <c r="A93" s="1" t="s">
        <v>193</v>
      </c>
      <c r="B93" s="4">
        <v>0.03</v>
      </c>
      <c r="C93" s="1" t="s">
        <v>88</v>
      </c>
      <c r="D93" s="5">
        <v>7.0000000000000001E-3</v>
      </c>
      <c r="E93" s="1" t="s">
        <v>93</v>
      </c>
      <c r="F93" s="4">
        <v>5.6000000000000001E-2</v>
      </c>
      <c r="G93" s="2">
        <f t="shared" si="2"/>
        <v>9.2999999999999999E-2</v>
      </c>
    </row>
    <row r="94" spans="1:7" x14ac:dyDescent="0.35">
      <c r="A94" s="1" t="s">
        <v>194</v>
      </c>
      <c r="B94" s="4">
        <v>1.7000000000000001E-2</v>
      </c>
      <c r="C94" s="1" t="s">
        <v>86</v>
      </c>
      <c r="D94" s="5">
        <v>1.11E-2</v>
      </c>
      <c r="E94" s="1" t="s">
        <v>93</v>
      </c>
      <c r="F94" s="4">
        <v>5.6000000000000001E-2</v>
      </c>
      <c r="G94" s="2">
        <f t="shared" si="2"/>
        <v>8.4100000000000008E-2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6B9A4-0937-4767-A0D1-D3E4FB7166F7}">
  <dimension ref="A1:B7"/>
  <sheetViews>
    <sheetView workbookViewId="0">
      <selection activeCell="A8" sqref="A8"/>
    </sheetView>
  </sheetViews>
  <sheetFormatPr defaultRowHeight="14.5" x14ac:dyDescent="0.35"/>
  <cols>
    <col min="1" max="1" width="22.453125" style="1" bestFit="1" customWidth="1"/>
    <col min="2" max="2" width="8.7265625" style="1"/>
  </cols>
  <sheetData>
    <row r="1" spans="1:2" x14ac:dyDescent="0.35">
      <c r="A1" s="1" t="s">
        <v>260</v>
      </c>
    </row>
    <row r="2" spans="1:2" x14ac:dyDescent="0.35">
      <c r="A2" s="1" t="s">
        <v>261</v>
      </c>
      <c r="B2" s="70">
        <v>0.35</v>
      </c>
    </row>
    <row r="3" spans="1:2" x14ac:dyDescent="0.35">
      <c r="A3" s="1" t="s">
        <v>262</v>
      </c>
      <c r="B3" s="70">
        <v>0.2</v>
      </c>
    </row>
    <row r="6" spans="1:2" x14ac:dyDescent="0.35">
      <c r="A6" s="1" t="s">
        <v>263</v>
      </c>
    </row>
    <row r="7" spans="1:2" x14ac:dyDescent="0.35">
      <c r="A7" s="1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BUDGET SHEET</vt:lpstr>
      <vt:lpstr>CITY TAX RATES</vt:lpstr>
      <vt:lpstr>MARK UPS WITH OR WITHOUT SOLAR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Yant</dc:creator>
  <cp:lastModifiedBy>Brad Yant</cp:lastModifiedBy>
  <dcterms:created xsi:type="dcterms:W3CDTF">2025-04-24T17:26:01Z</dcterms:created>
  <dcterms:modified xsi:type="dcterms:W3CDTF">2026-08-26T19:56:00Z</dcterms:modified>
</cp:coreProperties>
</file>