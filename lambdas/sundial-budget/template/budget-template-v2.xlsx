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Murphy\Projects\sundial-core\lambdas\sundial-budget\template\"/>
    </mc:Choice>
  </mc:AlternateContent>
  <xr:revisionPtr revIDLastSave="0" documentId="8_{C6D65927-A70C-47D4-B9DD-92002B5F5982}" xr6:coauthVersionLast="47" xr6:coauthVersionMax="47" xr10:uidLastSave="{00000000-0000-0000-0000-000000000000}"/>
  <bookViews>
    <workbookView xWindow="28680" yWindow="-120" windowWidth="29040" windowHeight="15720" xr2:uid="{D2C18758-A182-4515-B762-2DB42EA859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E52" i="1"/>
  <c r="F52" i="1" s="1"/>
  <c r="G52" i="1" s="1"/>
  <c r="F51" i="1"/>
  <c r="E51" i="1" s="1"/>
  <c r="F50" i="1"/>
  <c r="E55" i="1"/>
  <c r="J17" i="1" s="1"/>
  <c r="F49" i="1"/>
  <c r="E46" i="1"/>
  <c r="F46" i="1" s="1"/>
  <c r="E47" i="1"/>
  <c r="F47" i="1" s="1"/>
  <c r="D63" i="1"/>
  <c r="E63" i="1" s="1"/>
  <c r="J20" i="1" s="1"/>
  <c r="D46" i="1"/>
  <c r="D52" i="1"/>
  <c r="D47" i="1"/>
  <c r="D62" i="1"/>
  <c r="E62" i="1" s="1"/>
  <c r="J16" i="1" s="1"/>
  <c r="D61" i="1"/>
  <c r="E61" i="1" s="1"/>
  <c r="D45" i="1"/>
  <c r="E45" i="1"/>
  <c r="F45" i="1" s="1"/>
  <c r="D103" i="1"/>
  <c r="D104" i="1" s="1"/>
  <c r="D95" i="1"/>
  <c r="D87" i="1"/>
  <c r="D79" i="1"/>
  <c r="D71" i="1"/>
  <c r="E103" i="1"/>
  <c r="D101" i="1"/>
  <c r="E95" i="1"/>
  <c r="D93" i="1"/>
  <c r="C8" i="1"/>
  <c r="D4" i="1"/>
  <c r="D69" i="1"/>
  <c r="D41" i="1"/>
  <c r="D42" i="1"/>
  <c r="E71" i="1"/>
  <c r="E87" i="1"/>
  <c r="D85" i="1"/>
  <c r="E79" i="1"/>
  <c r="D77" i="1"/>
  <c r="E44" i="1"/>
  <c r="D44" i="1"/>
  <c r="E43" i="1"/>
  <c r="F43" i="1" s="1"/>
  <c r="D43" i="1"/>
  <c r="D60" i="1"/>
  <c r="E60" i="1" s="1"/>
  <c r="J19" i="1" s="1"/>
  <c r="E42" i="1"/>
  <c r="D59" i="1"/>
  <c r="D58" i="1"/>
  <c r="D55" i="1"/>
  <c r="E41" i="1"/>
  <c r="E40" i="1"/>
  <c r="D40" i="1"/>
  <c r="E33" i="1"/>
  <c r="G32" i="1"/>
  <c r="E32" i="1"/>
  <c r="E31" i="1"/>
  <c r="E29" i="1"/>
  <c r="E27" i="1"/>
  <c r="E26" i="1"/>
  <c r="E25" i="1"/>
  <c r="E24" i="1"/>
  <c r="G23" i="1"/>
  <c r="F23" i="1"/>
  <c r="E23" i="1"/>
  <c r="E22" i="1"/>
  <c r="G21" i="1"/>
  <c r="F21" i="1"/>
  <c r="J21" i="1" s="1"/>
  <c r="E21" i="1"/>
  <c r="E19" i="1"/>
  <c r="E18" i="1"/>
  <c r="E17" i="1"/>
  <c r="F16" i="1"/>
  <c r="F15" i="1"/>
  <c r="F14" i="1"/>
  <c r="F13" i="1"/>
  <c r="K10" i="1"/>
  <c r="F7" i="1"/>
  <c r="E7" i="1"/>
  <c r="D49" i="1" s="1"/>
  <c r="G69" i="1" l="1"/>
  <c r="E56" i="1"/>
  <c r="J18" i="1" s="1"/>
  <c r="N13" i="1" s="1"/>
  <c r="J33" i="1"/>
  <c r="H69" i="1"/>
  <c r="G50" i="1"/>
  <c r="E50" i="1"/>
  <c r="D56" i="1"/>
  <c r="D50" i="1"/>
  <c r="K39" i="1" s="1"/>
  <c r="D51" i="1"/>
  <c r="E49" i="1"/>
  <c r="G49" i="1"/>
  <c r="H49" i="1" s="1"/>
  <c r="I49" i="1" s="1"/>
  <c r="G51" i="1"/>
  <c r="G46" i="1"/>
  <c r="H46" i="1" s="1"/>
  <c r="I46" i="1" s="1"/>
  <c r="G47" i="1"/>
  <c r="H47" i="1" s="1"/>
  <c r="G45" i="1"/>
  <c r="H45" i="1" s="1"/>
  <c r="I45" i="1" s="1"/>
  <c r="D100" i="1"/>
  <c r="D96" i="1"/>
  <c r="D92" i="1" s="1"/>
  <c r="D5" i="1"/>
  <c r="N7" i="1" s="1"/>
  <c r="F32" i="1"/>
  <c r="D88" i="1"/>
  <c r="D84" i="1" s="1"/>
  <c r="D80" i="1"/>
  <c r="D76" i="1" s="1"/>
  <c r="D72" i="1"/>
  <c r="F44" i="1"/>
  <c r="G43" i="1"/>
  <c r="H43" i="1" s="1"/>
  <c r="I43" i="1" s="1"/>
  <c r="F42" i="1"/>
  <c r="K9" i="1"/>
  <c r="F41" i="1"/>
  <c r="F40" i="1"/>
  <c r="F24" i="1"/>
  <c r="F22" i="1"/>
  <c r="K8" i="1"/>
  <c r="E9" i="1"/>
  <c r="K7" i="1"/>
  <c r="F18" i="1"/>
  <c r="F17" i="1"/>
  <c r="F12" i="1"/>
  <c r="F33" i="1" l="1"/>
  <c r="J12" i="1" a="1"/>
  <c r="J11" i="1"/>
  <c r="L41" i="1"/>
  <c r="J36" i="1" s="1"/>
  <c r="K41" i="1"/>
  <c r="J25" i="1" s="1"/>
  <c r="G70" i="1"/>
  <c r="H50" i="1"/>
  <c r="I50" i="1" s="1"/>
  <c r="H51" i="1"/>
  <c r="I51" i="1" s="1"/>
  <c r="G41" i="1"/>
  <c r="H41" i="1" s="1"/>
  <c r="I41" i="1" s="1"/>
  <c r="D68" i="1"/>
  <c r="G67" i="1" s="1"/>
  <c r="G44" i="1"/>
  <c r="H44" i="1" s="1"/>
  <c r="I44" i="1" s="1"/>
  <c r="G42" i="1"/>
  <c r="H42" i="1" s="1"/>
  <c r="I42" i="1" s="1"/>
  <c r="F19" i="1"/>
  <c r="G40" i="1"/>
  <c r="F27" i="1"/>
  <c r="G27" i="1"/>
  <c r="F25" i="1"/>
  <c r="J22" i="1" s="1"/>
  <c r="G71" i="1" l="1"/>
  <c r="G72" i="1" s="1"/>
  <c r="K42" i="1"/>
  <c r="H40" i="1"/>
  <c r="I40" i="1" s="1"/>
  <c r="K40" i="1" s="1"/>
  <c r="J15" i="1" s="1"/>
  <c r="E30" i="1"/>
  <c r="F30" i="1" s="1"/>
  <c r="J24" i="1" s="1"/>
  <c r="F26" i="1"/>
  <c r="K43" i="1" l="1"/>
  <c r="K44" i="1" s="1"/>
  <c r="G30" i="1"/>
  <c r="J35" i="1" s="1"/>
  <c r="F31" i="1"/>
  <c r="E28" i="1"/>
  <c r="F28" i="1" s="1"/>
  <c r="J23" i="1" s="1"/>
  <c r="J26" i="1" s="1"/>
  <c r="N11" i="1" l="1"/>
  <c r="F29" i="1"/>
  <c r="J27" i="1" s="1"/>
  <c r="J28" i="1" s="1"/>
  <c r="G28" i="1"/>
  <c r="N12" i="1" l="1"/>
  <c r="J34" i="1"/>
  <c r="J32" i="1"/>
  <c r="J30" i="1" l="1"/>
  <c r="N9" i="1" l="1"/>
  <c r="N10" i="1" s="1"/>
  <c r="N14" i="1" s="1"/>
  <c r="J13" i="1"/>
  <c r="J29" i="1" s="1"/>
  <c r="J14" i="1" l="1"/>
  <c r="J31" i="1" s="1"/>
  <c r="N15" i="1"/>
  <c r="N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<sst xmlns="http://schemas.openxmlformats.org/spreadsheetml/2006/main" count="207" uniqueCount="155">
  <si>
    <t>Cost Parameters</t>
  </si>
  <si>
    <t>System Size Kw</t>
  </si>
  <si>
    <t>System Size Watts</t>
  </si>
  <si>
    <t>Module Watts</t>
  </si>
  <si>
    <t>Commissions</t>
  </si>
  <si>
    <t>PPW</t>
  </si>
  <si>
    <t>Module</t>
  </si>
  <si>
    <t>Module STC Watatge</t>
  </si>
  <si>
    <t>Module ppw</t>
  </si>
  <si>
    <t>Module Cost / DC Watt</t>
  </si>
  <si>
    <t># Of Mods</t>
  </si>
  <si>
    <t>Totals</t>
  </si>
  <si>
    <t>Burden</t>
  </si>
  <si>
    <t>Roof Material / Penetration</t>
  </si>
  <si>
    <t>BOS Solar</t>
  </si>
  <si>
    <t>Penetrations / Module</t>
  </si>
  <si>
    <t>BOS Electrical</t>
  </si>
  <si>
    <t>Roofing Material</t>
  </si>
  <si>
    <t>Hours/ Audit</t>
  </si>
  <si>
    <t>Roofing Cost / Penetration</t>
  </si>
  <si>
    <t>Hours</t>
  </si>
  <si>
    <t>Roofing Penetrations/Mod</t>
  </si>
  <si>
    <t>Total Material</t>
  </si>
  <si>
    <t>Hours/ Module</t>
  </si>
  <si>
    <t>Material Other</t>
  </si>
  <si>
    <t>Roofing Labor</t>
  </si>
  <si>
    <t>Piece Rate</t>
  </si>
  <si>
    <t>Total Labor</t>
  </si>
  <si>
    <t>Sub Panel</t>
  </si>
  <si>
    <t>Flat Roof</t>
  </si>
  <si>
    <t>Contract Revenue</t>
  </si>
  <si>
    <t>Bird Blocking</t>
  </si>
  <si>
    <t>Derate</t>
  </si>
  <si>
    <t>Balance of Revenue</t>
  </si>
  <si>
    <t>Labor</t>
  </si>
  <si>
    <t>Small System 10-12 panels</t>
  </si>
  <si>
    <t>Small System 13 - 15 panels</t>
  </si>
  <si>
    <t>Conduit in Attic</t>
  </si>
  <si>
    <t>GP Dollars</t>
  </si>
  <si>
    <t>Roof Tile (Two years or newer)</t>
  </si>
  <si>
    <t>GP Percent with Commissions In</t>
  </si>
  <si>
    <t>Software Fee</t>
  </si>
  <si>
    <t>GP Percent No Commissions</t>
  </si>
  <si>
    <t>400 Upgrade</t>
  </si>
  <si>
    <t>TOTAL LABOR</t>
  </si>
  <si>
    <t>Dealer Fee</t>
  </si>
  <si>
    <t>Combiner If Needed</t>
  </si>
  <si>
    <t>Combiner</t>
  </si>
  <si>
    <t>ppw</t>
  </si>
  <si>
    <t>ppw w/ comm</t>
  </si>
  <si>
    <t>Blended Labor Rate</t>
  </si>
  <si>
    <t>Total Solar Labor</t>
  </si>
  <si>
    <t>S1 Labor</t>
  </si>
  <si>
    <t>S1 Burden</t>
  </si>
  <si>
    <t>S2 Labor</t>
  </si>
  <si>
    <t xml:space="preserve">Audit </t>
  </si>
  <si>
    <t>S2 Burden</t>
  </si>
  <si>
    <t>Audit Burden</t>
  </si>
  <si>
    <t>Roofing Burden</t>
  </si>
  <si>
    <t>Total All Labor Burden</t>
  </si>
  <si>
    <t>Constructiv Operations</t>
  </si>
  <si>
    <t>QA Hours / Commissioning</t>
  </si>
  <si>
    <t>Powerwall</t>
  </si>
  <si>
    <t>S3 Labor (Powerwall)</t>
  </si>
  <si>
    <t>S3 Burden</t>
  </si>
  <si>
    <t>Hours / Battery</t>
  </si>
  <si>
    <t xml:space="preserve"># OF  </t>
  </si>
  <si>
    <t>Enphase Micro Inverters</t>
  </si>
  <si>
    <t>Enphase Inverter</t>
  </si>
  <si>
    <t>BOS Cost  - Solar</t>
  </si>
  <si>
    <t>BOS Cost  - Electrical</t>
  </si>
  <si>
    <t>QA / Commissioning</t>
  </si>
  <si>
    <t>QA / Commissioning Burden</t>
  </si>
  <si>
    <t>LABOR BUDGETS / HOURS</t>
  </si>
  <si>
    <t>MATERIAL BUDGETS</t>
  </si>
  <si>
    <t>Modules</t>
  </si>
  <si>
    <t>Labor Burden</t>
  </si>
  <si>
    <t>PROJECT NAME</t>
  </si>
  <si>
    <t>Labor $</t>
  </si>
  <si>
    <t>SELECT</t>
  </si>
  <si>
    <t>Total Labor Costs</t>
  </si>
  <si>
    <t>Material Budget No Mark Up</t>
  </si>
  <si>
    <t xml:space="preserve">ADDERS </t>
  </si>
  <si>
    <t>BURDENEXR - RESIDENTIAL</t>
  </si>
  <si>
    <t>BURDENEXR - SALESCOMM</t>
  </si>
  <si>
    <t>GENA - RESIDENTIAL</t>
  </si>
  <si>
    <t>S1 - RESIDENTIAL</t>
  </si>
  <si>
    <t>S2 - RESIDENTIAL</t>
  </si>
  <si>
    <t>S3 - RESIDENTIAL</t>
  </si>
  <si>
    <t>GENO - N/A - OTHER</t>
  </si>
  <si>
    <t>GENM - N/A - MATERIAL</t>
  </si>
  <si>
    <t>SLPC  OUT - M1&amp;M2COM</t>
  </si>
  <si>
    <t>SLMC - SALESCOMM</t>
  </si>
  <si>
    <t>SLPC - SALESCOMM</t>
  </si>
  <si>
    <t>SUMMARY TAB - CONTRACT TOTAL</t>
  </si>
  <si>
    <t>DLR - N/A</t>
  </si>
  <si>
    <t>CO Pass Thru Costs (Permit)</t>
  </si>
  <si>
    <t>Heat Detector</t>
  </si>
  <si>
    <t>ROOFCOM - RESIDENTIAL</t>
  </si>
  <si>
    <t>TOTAL NON STANDARD ADDER WITH MARK UP</t>
  </si>
  <si>
    <t>HOURS</t>
  </si>
  <si>
    <t>TOTAL LABOR BURDEN</t>
  </si>
  <si>
    <t>TOTAL MATERIALS</t>
  </si>
  <si>
    <t>MARK UP</t>
  </si>
  <si>
    <t>Geo</t>
  </si>
  <si>
    <t>Tesla Gateway</t>
  </si>
  <si>
    <t>Total Job Costs / No Commission</t>
  </si>
  <si>
    <t>Total Job Costs With Commission</t>
  </si>
  <si>
    <t>TOTAL JOB HOURS</t>
  </si>
  <si>
    <t>GENA</t>
  </si>
  <si>
    <t>S1</t>
  </si>
  <si>
    <t>S2</t>
  </si>
  <si>
    <t>S3</t>
  </si>
  <si>
    <t>YES</t>
  </si>
  <si>
    <t>NO</t>
  </si>
  <si>
    <t>NON STANDARD ADDER</t>
  </si>
  <si>
    <t>LIGHTREACH DC REBATE</t>
  </si>
  <si>
    <t>LightReach DC Rebate If Applicable</t>
  </si>
  <si>
    <t>DC REBATE - REVENUE BUDGET</t>
  </si>
  <si>
    <t>SILFAB</t>
  </si>
  <si>
    <r>
      <t>225 Upgrade</t>
    </r>
    <r>
      <rPr>
        <b/>
        <sz val="10"/>
        <color rgb="FFFF0000"/>
        <rFont val="Aptos Narrow"/>
        <family val="2"/>
        <scheme val="minor"/>
      </rPr>
      <t>-Overhead</t>
    </r>
  </si>
  <si>
    <t>225 Upgrade-Underground</t>
  </si>
  <si>
    <t>Active Monitoring</t>
  </si>
  <si>
    <t>LightReach Battery Warranty</t>
  </si>
  <si>
    <t>Site Audit</t>
  </si>
  <si>
    <t>Travel Adder</t>
  </si>
  <si>
    <t>Gateway3</t>
  </si>
  <si>
    <t>Referral Fee</t>
  </si>
  <si>
    <t>Total Standard Adders</t>
  </si>
  <si>
    <t>Total Non Standard Adders</t>
  </si>
  <si>
    <t>Powerwall III (*Add 16 Hrs Labor Below)</t>
  </si>
  <si>
    <r>
      <t>Tesla Expansion Pack</t>
    </r>
    <r>
      <rPr>
        <b/>
        <sz val="10"/>
        <rFont val="Aptos Narrow"/>
        <family val="2"/>
        <scheme val="minor"/>
      </rPr>
      <t xml:space="preserve"> (*Add 4 Hrs Labor below)</t>
    </r>
  </si>
  <si>
    <t>REVENUE ONLY</t>
  </si>
  <si>
    <t>Materials</t>
  </si>
  <si>
    <t>Balance</t>
  </si>
  <si>
    <t>Total Materials and Labor</t>
  </si>
  <si>
    <t>SUBCON - SUBCONTRACTOR</t>
  </si>
  <si>
    <t>SUBCON - ENGINEERING COSTS</t>
  </si>
  <si>
    <t>SOFTWARE - AUDIT SOFTWARE</t>
  </si>
  <si>
    <t>BUDGET</t>
  </si>
  <si>
    <t>Internal Sales Rep(s)</t>
  </si>
  <si>
    <t>Ralph &amp; Daniel</t>
  </si>
  <si>
    <t>APPT COMM</t>
  </si>
  <si>
    <t>REFERRAL - OTHER - REFERRAL FEE</t>
  </si>
  <si>
    <t xml:space="preserve">S3 Labor </t>
  </si>
  <si>
    <t>Audit Labor</t>
  </si>
  <si>
    <t>Structural-Electrical Engineer Stamp</t>
  </si>
  <si>
    <t>Engineer Stamps</t>
  </si>
  <si>
    <t>Subcontractor</t>
  </si>
  <si>
    <t>Software</t>
  </si>
  <si>
    <t>Referral Fees</t>
  </si>
  <si>
    <t>Total Other*</t>
  </si>
  <si>
    <t>3rd Party Sales Rep(s)</t>
  </si>
  <si>
    <t>Total "Other"</t>
  </si>
  <si>
    <t>Powerwall Labor (S3)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</si>
</sst>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0.000"/>
    <numFmt numFmtId="166" formatCode="_(&quot;$&quot;* #,##0.000_);_(&quot;$&quot;* \(#,##0.000\);_(&quot;$&quot;* &quot;-&quot;?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name val="Arial"/>
      <family val="2"/>
    </font>
    <font>
      <sz val="10"/>
      <color rgb="FFFF0000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ptos Narrow"/>
      <family val="2"/>
    </font>
    <font>
      <b/>
      <sz val="11"/>
      <name val="Aptos Narrow"/>
      <family val="2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44" fontId="8" fillId="0" borderId="0" xfId="0" applyNumberFormat="1" applyFont="1"/>
    <xf numFmtId="44" fontId="4" fillId="0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0" fontId="8" fillId="0" borderId="0" xfId="0" applyFont="1"/>
    <xf numFmtId="0" fontId="4" fillId="3" borderId="1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1" xfId="0" applyNumberFormat="1" applyBorder="1" applyAlignment="1">
      <alignment horizontal="center"/>
    </xf>
    <xf numFmtId="44" fontId="12" fillId="0" borderId="11" xfId="0" applyNumberFormat="1" applyFont="1" applyBorder="1" applyAlignment="1">
      <alignment horizontal="center"/>
    </xf>
    <xf numFmtId="44" fontId="12" fillId="0" borderId="13" xfId="0" applyNumberFormat="1" applyFont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2" fontId="11" fillId="4" borderId="17" xfId="0" applyNumberFormat="1" applyFont="1" applyFill="1" applyBorder="1" applyAlignment="1">
      <alignment horizontal="center"/>
    </xf>
    <xf numFmtId="44" fontId="8" fillId="0" borderId="9" xfId="0" applyNumberFormat="1" applyFont="1" applyBorder="1" applyAlignment="1">
      <alignment horizontal="center"/>
    </xf>
    <xf numFmtId="44" fontId="13" fillId="0" borderId="11" xfId="0" applyNumberFormat="1" applyFont="1" applyBorder="1"/>
    <xf numFmtId="44" fontId="8" fillId="0" borderId="11" xfId="0" applyNumberFormat="1" applyFont="1" applyBorder="1" applyAlignment="1">
      <alignment horizontal="center"/>
    </xf>
    <xf numFmtId="44" fontId="8" fillId="0" borderId="11" xfId="0" applyNumberFormat="1" applyFont="1" applyBorder="1"/>
    <xf numFmtId="44" fontId="12" fillId="0" borderId="11" xfId="0" applyNumberFormat="1" applyFont="1" applyBorder="1"/>
    <xf numFmtId="0" fontId="12" fillId="0" borderId="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4" fontId="0" fillId="0" borderId="9" xfId="0" applyNumberFormat="1" applyBorder="1"/>
    <xf numFmtId="0" fontId="0" fillId="0" borderId="11" xfId="0" applyBorder="1"/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7" xfId="0" applyNumberFormat="1" applyBorder="1"/>
    <xf numFmtId="0" fontId="0" fillId="0" borderId="13" xfId="0" applyBorder="1"/>
    <xf numFmtId="44" fontId="15" fillId="2" borderId="11" xfId="0" applyNumberFormat="1" applyFont="1" applyFill="1" applyBorder="1"/>
    <xf numFmtId="0" fontId="14" fillId="4" borderId="0" xfId="0" applyFont="1" applyFill="1" applyAlignment="1">
      <alignment horizontal="center"/>
    </xf>
    <xf numFmtId="44" fontId="12" fillId="0" borderId="0" xfId="0" applyNumberFormat="1" applyFont="1" applyAlignment="1">
      <alignment horizontal="center"/>
    </xf>
    <xf numFmtId="44" fontId="12" fillId="0" borderId="0" xfId="0" applyNumberFormat="1" applyFont="1"/>
    <xf numFmtId="0" fontId="0" fillId="3" borderId="1" xfId="0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44" fontId="18" fillId="0" borderId="0" xfId="0" applyNumberFormat="1" applyFont="1" applyAlignment="1">
      <alignment horizontal="center"/>
    </xf>
    <xf numFmtId="0" fontId="12" fillId="2" borderId="2" xfId="0" applyFont="1" applyFill="1" applyBorder="1"/>
    <xf numFmtId="0" fontId="12" fillId="2" borderId="11" xfId="0" applyFont="1" applyFill="1" applyBorder="1"/>
    <xf numFmtId="0" fontId="4" fillId="0" borderId="4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4" fillId="3" borderId="19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4" fontId="12" fillId="0" borderId="1" xfId="0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4" fontId="12" fillId="3" borderId="1" xfId="0" applyNumberFormat="1" applyFont="1" applyFill="1" applyBorder="1" applyAlignment="1">
      <alignment horizontal="center"/>
    </xf>
    <xf numFmtId="44" fontId="12" fillId="6" borderId="1" xfId="0" applyNumberFormat="1" applyFont="1" applyFill="1" applyBorder="1" applyAlignment="1">
      <alignment horizontal="center"/>
    </xf>
    <xf numFmtId="44" fontId="0" fillId="6" borderId="11" xfId="0" applyNumberFormat="1" applyFill="1" applyBorder="1"/>
    <xf numFmtId="44" fontId="0" fillId="2" borderId="11" xfId="0" applyNumberFormat="1" applyFill="1" applyBorder="1"/>
    <xf numFmtId="2" fontId="14" fillId="4" borderId="0" xfId="0" applyNumberFormat="1" applyFont="1" applyFill="1" applyAlignment="1">
      <alignment horizontal="center"/>
    </xf>
    <xf numFmtId="9" fontId="17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21" xfId="0" quotePrefix="1" applyNumberFormat="1" applyBorder="1"/>
    <xf numFmtId="0" fontId="0" fillId="3" borderId="21" xfId="0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17" fillId="3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0" fillId="4" borderId="0" xfId="0" applyFill="1"/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5" borderId="10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8" fillId="2" borderId="0" xfId="0" applyNumberFormat="1" applyFont="1" applyFill="1"/>
    <xf numFmtId="0" fontId="0" fillId="0" borderId="7" xfId="0" applyBorder="1" applyAlignment="1">
      <alignment horizontal="center"/>
    </xf>
    <xf numFmtId="0" fontId="0" fillId="0" borderId="10" xfId="0" applyBorder="1"/>
    <xf numFmtId="0" fontId="12" fillId="5" borderId="8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2" fontId="14" fillId="4" borderId="11" xfId="0" applyNumberFormat="1" applyFont="1" applyFill="1" applyBorder="1" applyAlignment="1">
      <alignment horizontal="center"/>
    </xf>
    <xf numFmtId="2" fontId="14" fillId="4" borderId="13" xfId="0" applyNumberFormat="1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44" fontId="0" fillId="0" borderId="16" xfId="0" applyNumberFormat="1" applyBorder="1"/>
    <xf numFmtId="0" fontId="0" fillId="3" borderId="10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/>
    <xf numFmtId="0" fontId="19" fillId="0" borderId="0" xfId="0" applyFont="1"/>
    <xf numFmtId="0" fontId="21" fillId="5" borderId="7" xfId="0" applyFont="1" applyFill="1" applyBorder="1" applyAlignment="1">
      <alignment horizontal="center"/>
    </xf>
    <xf numFmtId="44" fontId="21" fillId="0" borderId="0" xfId="0" applyNumberFormat="1" applyFont="1" applyAlignment="1">
      <alignment horizontal="center"/>
    </xf>
    <xf numFmtId="44" fontId="12" fillId="6" borderId="1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44" fontId="8" fillId="6" borderId="0" xfId="0" applyNumberFormat="1" applyFont="1" applyFill="1" applyAlignment="1">
      <alignment horizontal="center"/>
    </xf>
    <xf numFmtId="44" fontId="12" fillId="6" borderId="0" xfId="0" applyNumberFormat="1" applyFont="1" applyFill="1" applyAlignment="1">
      <alignment horizontal="center"/>
    </xf>
    <xf numFmtId="44" fontId="8" fillId="3" borderId="22" xfId="0" applyNumberFormat="1" applyFont="1" applyFill="1" applyBorder="1" applyAlignment="1">
      <alignment horizontal="center"/>
    </xf>
    <xf numFmtId="44" fontId="12" fillId="3" borderId="22" xfId="0" applyNumberFormat="1" applyFont="1" applyFill="1" applyBorder="1"/>
    <xf numFmtId="0" fontId="0" fillId="0" borderId="22" xfId="0" applyBorder="1" applyAlignment="1">
      <alignment horizontal="center"/>
    </xf>
    <xf numFmtId="44" fontId="12" fillId="3" borderId="22" xfId="0" applyNumberFormat="1" applyFont="1" applyFill="1" applyBorder="1" applyAlignment="1">
      <alignment horizontal="center"/>
    </xf>
    <xf numFmtId="44" fontId="8" fillId="0" borderId="22" xfId="0" applyNumberFormat="1" applyFont="1" applyBorder="1" applyAlignment="1">
      <alignment horizontal="center"/>
    </xf>
    <xf numFmtId="10" fontId="8" fillId="0" borderId="22" xfId="2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10" fontId="8" fillId="0" borderId="23" xfId="2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44" fontId="21" fillId="5" borderId="0" xfId="0" applyNumberFormat="1" applyFont="1" applyFill="1" applyAlignment="1">
      <alignment horizontal="center"/>
    </xf>
    <xf numFmtId="44" fontId="12" fillId="5" borderId="10" xfId="0" applyNumberFormat="1" applyFont="1" applyFill="1" applyBorder="1" applyAlignment="1">
      <alignment horizontal="center"/>
    </xf>
    <xf numFmtId="44" fontId="8" fillId="5" borderId="10" xfId="0" applyNumberFormat="1" applyFont="1" applyFill="1" applyBorder="1" applyAlignment="1">
      <alignment horizontal="center"/>
    </xf>
    <xf numFmtId="44" fontId="0" fillId="0" borderId="11" xfId="0" applyNumberFormat="1" applyBorder="1"/>
    <xf numFmtId="44" fontId="8" fillId="0" borderId="0" xfId="0" applyNumberFormat="1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44" fontId="0" fillId="0" borderId="25" xfId="0" applyNumberForma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0" fillId="0" borderId="25" xfId="0" applyBorder="1"/>
    <xf numFmtId="0" fontId="5" fillId="0" borderId="25" xfId="0" applyFont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3" fillId="0" borderId="25" xfId="0" applyFont="1" applyBorder="1"/>
    <xf numFmtId="0" fontId="9" fillId="0" borderId="25" xfId="0" applyFont="1" applyBorder="1" applyAlignment="1">
      <alignment horizontal="center"/>
    </xf>
    <xf numFmtId="0" fontId="3" fillId="0" borderId="27" xfId="0" applyFont="1" applyBorder="1"/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/>
    <xf numFmtId="0" fontId="12" fillId="2" borderId="10" xfId="0" applyFont="1" applyFill="1" applyBorder="1" applyAlignment="1">
      <alignment horizontal="center"/>
    </xf>
    <xf numFmtId="0" fontId="12" fillId="2" borderId="0" xfId="0" applyFont="1" applyFill="1"/>
    <xf numFmtId="9" fontId="0" fillId="0" borderId="0" xfId="0" applyNumberFormat="1" applyAlignment="1">
      <alignment horizontal="center"/>
    </xf>
    <xf numFmtId="0" fontId="12" fillId="6" borderId="10" xfId="0" applyFont="1" applyFill="1" applyBorder="1" applyAlignment="1">
      <alignment horizontal="center"/>
    </xf>
    <xf numFmtId="44" fontId="0" fillId="6" borderId="0" xfId="0" applyNumberFormat="1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12" fillId="0" borderId="12" xfId="0" applyFont="1" applyBorder="1" applyAlignment="1">
      <alignment horizontal="center"/>
    </xf>
    <xf numFmtId="0" fontId="0" fillId="0" borderId="17" xfId="0" applyBorder="1"/>
    <xf numFmtId="0" fontId="6" fillId="0" borderId="17" xfId="0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/>
    </xf>
    <xf numFmtId="2" fontId="11" fillId="0" borderId="28" xfId="0" applyNumberFormat="1" applyFont="1" applyBorder="1" applyAlignment="1">
      <alignment horizontal="center"/>
    </xf>
    <xf numFmtId="44" fontId="12" fillId="2" borderId="0" xfId="0" applyNumberFormat="1" applyFont="1" applyFill="1"/>
    <xf numFmtId="44" fontId="8" fillId="2" borderId="0" xfId="0" applyNumberFormat="1" applyFont="1" applyFill="1" applyAlignment="1">
      <alignment horizontal="center"/>
    </xf>
    <xf numFmtId="0" fontId="8" fillId="0" borderId="29" xfId="0" applyFont="1" applyBorder="1" applyAlignment="1">
      <alignment horizontal="center"/>
    </xf>
    <xf numFmtId="44" fontId="12" fillId="0" borderId="30" xfId="0" applyNumberFormat="1" applyFont="1" applyBorder="1"/>
    <xf numFmtId="0" fontId="0" fillId="0" borderId="31" xfId="0" applyBorder="1"/>
    <xf numFmtId="0" fontId="12" fillId="0" borderId="32" xfId="0" applyFont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0" fontId="8" fillId="0" borderId="32" xfId="0" applyFont="1" applyBorder="1" applyAlignment="1">
      <alignment horizontal="center"/>
    </xf>
    <xf numFmtId="44" fontId="0" fillId="0" borderId="33" xfId="0" applyNumberFormat="1" applyBorder="1"/>
    <xf numFmtId="0" fontId="0" fillId="0" borderId="33" xfId="0" applyBorder="1"/>
    <xf numFmtId="44" fontId="12" fillId="0" borderId="34" xfId="0" applyNumberFormat="1" applyFont="1" applyBorder="1" applyAlignment="1">
      <alignment horizontal="center"/>
    </xf>
    <xf numFmtId="44" fontId="12" fillId="0" borderId="35" xfId="0" applyNumberFormat="1" applyFont="1" applyBorder="1"/>
    <xf numFmtId="44" fontId="0" fillId="0" borderId="36" xfId="0" applyNumberFormat="1" applyBorder="1"/>
    <xf numFmtId="2" fontId="11" fillId="4" borderId="33" xfId="0" applyNumberFormat="1" applyFont="1" applyFill="1" applyBorder="1" applyAlignment="1">
      <alignment horizontal="center"/>
    </xf>
    <xf numFmtId="0" fontId="0" fillId="0" borderId="36" xfId="0" applyBorder="1"/>
    <xf numFmtId="0" fontId="6" fillId="0" borderId="37" xfId="0" applyFont="1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28" xfId="0" applyFont="1" applyFill="1" applyBorder="1" applyAlignment="1">
      <alignment horizontal="center"/>
    </xf>
    <xf numFmtId="44" fontId="4" fillId="3" borderId="1" xfId="0" applyNumberFormat="1" applyFont="1" applyFill="1" applyBorder="1" applyAlignment="1">
      <alignment horizontal="center"/>
    </xf>
    <xf numFmtId="9" fontId="4" fillId="3" borderId="1" xfId="1" applyNumberFormat="1" applyFont="1" applyFill="1" applyBorder="1" applyAlignment="1">
      <alignment horizontal="center"/>
    </xf>
    <xf numFmtId="44" fontId="10" fillId="3" borderId="1" xfId="1" applyFont="1" applyFill="1" applyBorder="1" applyAlignment="1">
      <alignment horizontal="center"/>
    </xf>
    <xf numFmtId="44" fontId="5" fillId="3" borderId="1" xfId="0" applyNumberFormat="1" applyFont="1" applyFill="1" applyBorder="1" applyAlignment="1">
      <alignment horizontal="center"/>
    </xf>
    <xf numFmtId="44" fontId="4" fillId="3" borderId="3" xfId="0" applyNumberFormat="1" applyFont="1" applyFill="1" applyBorder="1" applyAlignment="1">
      <alignment horizontal="center"/>
    </xf>
    <xf numFmtId="44" fontId="5" fillId="3" borderId="3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1D66-3479-426D-B07A-C9AEBB6D2752}">
  <dimension ref="A1:N104"/>
  <sheetViews>
    <sheetView tabSelected="1" zoomScale="70" zoomScaleNormal="70" workbookViewId="0">
      <selection activeCell="G61" sqref="G61"/>
    </sheetView>
  </sheetViews>
  <sheetFormatPr defaultRowHeight="15" x14ac:dyDescent="0.25"/>
  <cols>
    <col min="1" max="1" width="38.7109375" style="2" bestFit="1" customWidth="1"/>
    <col min="2" max="2" width="12.28515625" style="5" customWidth="1"/>
    <col min="3" max="3" width="12.7109375" customWidth="1"/>
    <col min="4" max="4" width="24.42578125" style="2" bestFit="1" customWidth="1"/>
    <col min="5" max="5" width="30.140625" style="2" bestFit="1" customWidth="1"/>
    <col min="6" max="6" width="33" style="2" bestFit="1" customWidth="1"/>
    <col min="7" max="7" width="24.42578125" bestFit="1" customWidth="1"/>
    <col min="8" max="8" width="27.42578125" style="2" bestFit="1" customWidth="1"/>
    <col min="9" max="9" width="23" bestFit="1" customWidth="1"/>
    <col min="10" max="10" width="32.42578125" style="3" customWidth="1"/>
    <col min="11" max="11" width="23.5703125" bestFit="1" customWidth="1"/>
    <col min="12" max="12" width="40.140625" customWidth="1"/>
    <col min="13" max="13" width="29.42578125" bestFit="1" customWidth="1"/>
    <col min="14" max="14" width="30.140625" customWidth="1"/>
    <col min="15" max="15" width="29" customWidth="1"/>
    <col min="16" max="16" width="20.7109375" customWidth="1"/>
  </cols>
  <sheetData>
    <row r="1" spans="1:14" ht="15.75" thickBot="1" x14ac:dyDescent="0.3"/>
    <row r="2" spans="1:14" ht="16.5" thickTop="1" thickBot="1" x14ac:dyDescent="0.3">
      <c r="A2" s="180" t="s">
        <v>77</v>
      </c>
      <c r="B2" s="181"/>
      <c r="D2" s="73" t="s">
        <v>116</v>
      </c>
      <c r="G2" s="2"/>
      <c r="I2" s="2"/>
      <c r="J2"/>
      <c r="K2" s="3"/>
    </row>
    <row r="3" spans="1:14" ht="16.5" thickTop="1" thickBot="1" x14ac:dyDescent="0.3">
      <c r="A3" s="180"/>
      <c r="B3" s="181"/>
      <c r="D3" s="72" t="s">
        <v>114</v>
      </c>
      <c r="G3" s="2"/>
      <c r="I3" s="2"/>
      <c r="J3"/>
      <c r="K3" s="3"/>
    </row>
    <row r="4" spans="1:14" ht="16.5" thickTop="1" thickBot="1" x14ac:dyDescent="0.3">
      <c r="A4" s="182"/>
      <c r="B4" s="183"/>
      <c r="D4" s="71" t="b">
        <f>IF(D3="YES",0.45)</f>
        <v>0</v>
      </c>
      <c r="G4" s="2"/>
      <c r="I4" s="2"/>
      <c r="J4"/>
      <c r="K4" s="3"/>
    </row>
    <row r="5" spans="1:14" ht="16.5" thickTop="1" thickBot="1" x14ac:dyDescent="0.3">
      <c r="A5" s="182"/>
      <c r="B5" s="183"/>
      <c r="D5" s="97">
        <f>D4*E7</f>
        <v>0</v>
      </c>
      <c r="G5" s="2"/>
      <c r="I5" s="2"/>
      <c r="J5"/>
      <c r="K5" s="3"/>
    </row>
    <row r="6" spans="1:14" ht="20.25" thickTop="1" thickBot="1" x14ac:dyDescent="0.35">
      <c r="A6" s="184" t="s">
        <v>0</v>
      </c>
      <c r="B6" s="184"/>
      <c r="C6" s="1"/>
      <c r="D6" s="30" t="s">
        <v>1</v>
      </c>
      <c r="E6" s="31" t="s">
        <v>2</v>
      </c>
      <c r="F6" s="50" t="s">
        <v>3</v>
      </c>
      <c r="H6" s="82"/>
      <c r="I6" s="31" t="s">
        <v>4</v>
      </c>
      <c r="J6" s="31" t="s">
        <v>5</v>
      </c>
      <c r="K6" s="32"/>
      <c r="L6" s="171" t="s">
        <v>94</v>
      </c>
      <c r="M6" s="168" t="s">
        <v>30</v>
      </c>
      <c r="N6" s="110">
        <v>36502</v>
      </c>
    </row>
    <row r="7" spans="1:14" ht="16.5" thickTop="1" thickBot="1" x14ac:dyDescent="0.3">
      <c r="A7" s="48" t="s">
        <v>6</v>
      </c>
      <c r="B7" s="49" t="s">
        <v>119</v>
      </c>
      <c r="C7" s="127" t="s">
        <v>8</v>
      </c>
      <c r="D7" s="98">
        <v>8.8000000000000007</v>
      </c>
      <c r="E7" s="99">
        <f>D7*1000</f>
        <v>8800</v>
      </c>
      <c r="F7" s="100">
        <f>B8</f>
        <v>440</v>
      </c>
      <c r="H7" s="84" t="s">
        <v>91</v>
      </c>
      <c r="I7" s="2" t="s">
        <v>152</v>
      </c>
      <c r="J7" s="85">
        <v>0.25</v>
      </c>
      <c r="K7" s="65">
        <f>J7*E7</f>
        <v>2200</v>
      </c>
      <c r="L7" s="172" t="s">
        <v>118</v>
      </c>
      <c r="M7" s="169" t="s">
        <v>117</v>
      </c>
      <c r="N7" s="111">
        <f>D5</f>
        <v>0</v>
      </c>
    </row>
    <row r="8" spans="1:14" ht="15.75" thickBot="1" x14ac:dyDescent="0.3">
      <c r="A8" s="51" t="s">
        <v>7</v>
      </c>
      <c r="B8" s="14">
        <v>440</v>
      </c>
      <c r="C8" s="128">
        <f>B9</f>
        <v>0.6</v>
      </c>
      <c r="D8" s="19"/>
      <c r="E8" s="17" t="s">
        <v>10</v>
      </c>
      <c r="F8" s="33"/>
      <c r="H8" s="84" t="s">
        <v>93</v>
      </c>
      <c r="I8" s="2" t="s">
        <v>140</v>
      </c>
      <c r="J8" s="85">
        <v>0</v>
      </c>
      <c r="K8" s="38">
        <f>J8*E7</f>
        <v>0</v>
      </c>
      <c r="L8" s="173" t="s">
        <v>95</v>
      </c>
      <c r="M8" s="170" t="s">
        <v>45</v>
      </c>
      <c r="N8" s="113">
        <v>0</v>
      </c>
    </row>
    <row r="9" spans="1:14" ht="16.5" thickTop="1" thickBot="1" x14ac:dyDescent="0.3">
      <c r="A9" s="51" t="s">
        <v>9</v>
      </c>
      <c r="B9" s="15">
        <v>0.6</v>
      </c>
      <c r="C9" s="129" t="s">
        <v>66</v>
      </c>
      <c r="D9" s="19"/>
      <c r="E9" s="83">
        <f>E7/F7</f>
        <v>20</v>
      </c>
      <c r="F9" s="33"/>
      <c r="H9" s="84" t="s">
        <v>92</v>
      </c>
      <c r="I9" s="2" t="s">
        <v>141</v>
      </c>
      <c r="J9" s="118">
        <v>5.5E-2</v>
      </c>
      <c r="K9" s="38">
        <f>J9*E7</f>
        <v>484</v>
      </c>
      <c r="M9" s="107" t="s">
        <v>4</v>
      </c>
      <c r="N9" s="114">
        <f>SUM(J11:J12)</f>
        <v>3169.5</v>
      </c>
    </row>
    <row r="10" spans="1:14" ht="15.75" thickBot="1" x14ac:dyDescent="0.3">
      <c r="A10" s="51" t="s">
        <v>46</v>
      </c>
      <c r="B10" s="44">
        <v>604.80999999999995</v>
      </c>
      <c r="C10" s="130">
        <v>0</v>
      </c>
      <c r="D10" s="35"/>
      <c r="E10" s="101"/>
      <c r="F10" s="37"/>
      <c r="H10" s="84" t="s">
        <v>142</v>
      </c>
      <c r="I10" s="2" t="s">
        <v>104</v>
      </c>
      <c r="J10" s="86">
        <v>70</v>
      </c>
      <c r="K10" s="64">
        <f>J10</f>
        <v>70</v>
      </c>
      <c r="M10" s="107" t="s">
        <v>33</v>
      </c>
      <c r="N10" s="114">
        <f>N6+N7-N8-N9</f>
        <v>33332.5</v>
      </c>
    </row>
    <row r="11" spans="1:14" ht="16.5" thickTop="1" thickBot="1" x14ac:dyDescent="0.3">
      <c r="A11" s="51" t="s">
        <v>131</v>
      </c>
      <c r="B11" s="44">
        <v>6009.03</v>
      </c>
      <c r="C11" s="130">
        <v>0</v>
      </c>
      <c r="D11" s="140" t="s">
        <v>74</v>
      </c>
      <c r="E11" s="46"/>
      <c r="F11" s="141"/>
      <c r="G11" s="2"/>
      <c r="H11" s="19"/>
      <c r="I11" s="5" t="s">
        <v>11</v>
      </c>
      <c r="J11" s="9">
        <f>SUM(K7:K10)</f>
        <v>2754</v>
      </c>
      <c r="K11" s="33"/>
      <c r="L11" s="17"/>
      <c r="M11" s="107" t="s">
        <v>22</v>
      </c>
      <c r="N11" s="114">
        <f>J15</f>
        <v>16140.73</v>
      </c>
    </row>
    <row r="12" spans="1:14" ht="15.75" thickBot="1" x14ac:dyDescent="0.3">
      <c r="A12" s="51" t="s">
        <v>67</v>
      </c>
      <c r="B12" s="44">
        <v>109.93</v>
      </c>
      <c r="C12" s="131">
        <v>0</v>
      </c>
      <c r="D12" s="126" t="s">
        <v>75</v>
      </c>
      <c r="E12"/>
      <c r="F12" s="20">
        <f>E7*B9</f>
        <v>5280</v>
      </c>
      <c r="G12" s="2"/>
      <c r="H12" s="84" t="s">
        <v>84</v>
      </c>
      <c r="I12" s="5" t="s">
        <v>12</v>
      </c>
      <c r="J12" s="87" cm="1">
        <f t="array" ref="J12">SUM(K8:K10*K12)</f>
        <v>415.5</v>
      </c>
      <c r="K12" s="34">
        <v>0.75</v>
      </c>
      <c r="L12" s="40"/>
      <c r="M12" s="107" t="s">
        <v>27</v>
      </c>
      <c r="N12" s="114">
        <f>SUM(J26:J27)</f>
        <v>4558.75</v>
      </c>
    </row>
    <row r="13" spans="1:14" ht="15.75" thickBot="1" x14ac:dyDescent="0.3">
      <c r="A13" s="52" t="s">
        <v>130</v>
      </c>
      <c r="B13" s="44">
        <v>7383.33</v>
      </c>
      <c r="C13" s="132">
        <v>1</v>
      </c>
      <c r="D13" s="126" t="s">
        <v>47</v>
      </c>
      <c r="E13"/>
      <c r="F13" s="20">
        <f>B10*C10</f>
        <v>0</v>
      </c>
      <c r="G13" s="2"/>
      <c r="H13" s="19"/>
      <c r="I13" s="2" t="s">
        <v>11</v>
      </c>
      <c r="J13" s="3">
        <f>SUM(J11:J12)</f>
        <v>3169.5</v>
      </c>
      <c r="K13" s="33"/>
      <c r="L13" s="125"/>
      <c r="M13" s="107" t="s">
        <v>151</v>
      </c>
      <c r="N13" s="114">
        <f>SUM(J16:J20)</f>
        <v>3858</v>
      </c>
    </row>
    <row r="14" spans="1:14" ht="15.75" thickBot="1" x14ac:dyDescent="0.3">
      <c r="A14" s="51" t="s">
        <v>69</v>
      </c>
      <c r="B14" s="174">
        <v>0.17</v>
      </c>
      <c r="C14" s="133"/>
      <c r="D14" s="126" t="s">
        <v>105</v>
      </c>
      <c r="F14" s="20">
        <f>B11*C11</f>
        <v>0</v>
      </c>
      <c r="G14" s="2"/>
      <c r="H14" s="35"/>
      <c r="I14" s="88" t="s">
        <v>48</v>
      </c>
      <c r="J14" s="36">
        <f>J13/E7</f>
        <v>0.36017045454545454</v>
      </c>
      <c r="K14" s="37"/>
      <c r="M14" s="112" t="s">
        <v>38</v>
      </c>
      <c r="N14" s="114">
        <f>N10-N11-N12-N13</f>
        <v>8775.02</v>
      </c>
    </row>
    <row r="15" spans="1:14" ht="16.5" thickTop="1" thickBot="1" x14ac:dyDescent="0.3">
      <c r="A15" s="51" t="s">
        <v>70</v>
      </c>
      <c r="B15" s="174">
        <v>0.1</v>
      </c>
      <c r="C15" s="133"/>
      <c r="D15" s="126" t="s">
        <v>68</v>
      </c>
      <c r="F15" s="20">
        <f>B12*C12</f>
        <v>0</v>
      </c>
      <c r="G15" s="2"/>
      <c r="H15" s="90" t="s">
        <v>90</v>
      </c>
      <c r="I15" s="91" t="s">
        <v>22</v>
      </c>
      <c r="J15" s="25">
        <f>SUM(F12:F19,K40,G68)</f>
        <v>16140.73</v>
      </c>
      <c r="M15" s="112" t="s">
        <v>40</v>
      </c>
      <c r="N15" s="115">
        <f>N14/N6</f>
        <v>0.24039833433784452</v>
      </c>
    </row>
    <row r="16" spans="1:14" ht="15.75" thickBot="1" x14ac:dyDescent="0.3">
      <c r="A16" s="53" t="s">
        <v>13</v>
      </c>
      <c r="B16" s="44">
        <v>24</v>
      </c>
      <c r="C16" s="133"/>
      <c r="D16" s="126" t="s">
        <v>62</v>
      </c>
      <c r="F16" s="20">
        <f>B13*C13</f>
        <v>7383.33</v>
      </c>
      <c r="G16" s="2"/>
      <c r="H16" s="84" t="s">
        <v>89</v>
      </c>
      <c r="I16" s="5" t="s">
        <v>153</v>
      </c>
      <c r="J16" s="28">
        <f>SUM(B25,B26,B27,E61,E62)</f>
        <v>2550</v>
      </c>
      <c r="M16" s="116" t="s">
        <v>42</v>
      </c>
      <c r="N16" s="117">
        <f>N14/N10</f>
        <v>0.26325718142953575</v>
      </c>
    </row>
    <row r="17" spans="1:11" ht="15.75" thickTop="1" x14ac:dyDescent="0.25">
      <c r="A17" s="51" t="s">
        <v>15</v>
      </c>
      <c r="B17" s="16">
        <v>1.75</v>
      </c>
      <c r="C17" s="134"/>
      <c r="D17" s="126" t="s">
        <v>14</v>
      </c>
      <c r="E17" s="4">
        <f>B14</f>
        <v>0.17</v>
      </c>
      <c r="F17" s="20">
        <f>E17*E7</f>
        <v>1496</v>
      </c>
      <c r="H17" s="84" t="s">
        <v>137</v>
      </c>
      <c r="I17" s="119" t="s">
        <v>147</v>
      </c>
      <c r="J17" s="124">
        <f>SUM(E55)</f>
        <v>250</v>
      </c>
    </row>
    <row r="18" spans="1:11" x14ac:dyDescent="0.25">
      <c r="A18" s="51" t="s">
        <v>50</v>
      </c>
      <c r="B18" s="44">
        <v>28.25</v>
      </c>
      <c r="C18" s="135"/>
      <c r="D18" s="126" t="s">
        <v>16</v>
      </c>
      <c r="E18" s="4">
        <f>B15</f>
        <v>0.1</v>
      </c>
      <c r="F18" s="20">
        <f>E18*E7</f>
        <v>880</v>
      </c>
      <c r="H18" s="84" t="s">
        <v>136</v>
      </c>
      <c r="I18" s="119" t="s">
        <v>148</v>
      </c>
      <c r="J18" s="124">
        <f>SUM(E56)</f>
        <v>528</v>
      </c>
    </row>
    <row r="19" spans="1:11" ht="15.75" thickBot="1" x14ac:dyDescent="0.3">
      <c r="A19" s="51" t="s">
        <v>12</v>
      </c>
      <c r="B19" s="175">
        <v>0.75</v>
      </c>
      <c r="C19" s="135"/>
      <c r="D19" s="126" t="s">
        <v>17</v>
      </c>
      <c r="E19" s="4">
        <f>B16</f>
        <v>24</v>
      </c>
      <c r="F19" s="20">
        <f>B17*E19*E9</f>
        <v>840</v>
      </c>
      <c r="H19" s="122" t="s">
        <v>138</v>
      </c>
      <c r="I19" s="119" t="s">
        <v>149</v>
      </c>
      <c r="J19" s="124">
        <f>SUM(E60)</f>
        <v>30</v>
      </c>
    </row>
    <row r="20" spans="1:11" ht="15.75" thickTop="1" x14ac:dyDescent="0.25">
      <c r="A20" s="51" t="s">
        <v>18</v>
      </c>
      <c r="B20" s="16">
        <v>2</v>
      </c>
      <c r="C20" s="136"/>
      <c r="D20" s="142" t="s">
        <v>73</v>
      </c>
      <c r="E20" s="143"/>
      <c r="F20" s="47"/>
      <c r="G20" s="23" t="s">
        <v>20</v>
      </c>
      <c r="H20" s="123" t="s">
        <v>143</v>
      </c>
      <c r="I20" s="119" t="s">
        <v>150</v>
      </c>
      <c r="J20" s="124">
        <f>SUM(E63)</f>
        <v>500</v>
      </c>
    </row>
    <row r="21" spans="1:11" x14ac:dyDescent="0.25">
      <c r="A21" s="51" t="s">
        <v>61</v>
      </c>
      <c r="B21" s="16">
        <v>2</v>
      </c>
      <c r="C21" s="135"/>
      <c r="D21" s="126" t="s">
        <v>55</v>
      </c>
      <c r="E21" s="4">
        <f>B18</f>
        <v>28.25</v>
      </c>
      <c r="F21" s="21">
        <f>B18*B20</f>
        <v>56.5</v>
      </c>
      <c r="G21" s="24">
        <f>B20</f>
        <v>2</v>
      </c>
      <c r="H21" s="84" t="s">
        <v>85</v>
      </c>
      <c r="I21" s="119" t="s">
        <v>145</v>
      </c>
      <c r="J21" s="124">
        <f>SUM(F21,F23)</f>
        <v>113</v>
      </c>
    </row>
    <row r="22" spans="1:11" x14ac:dyDescent="0.25">
      <c r="A22" s="54" t="s">
        <v>19</v>
      </c>
      <c r="B22" s="176">
        <v>21</v>
      </c>
      <c r="C22" s="137"/>
      <c r="D22" s="126" t="s">
        <v>57</v>
      </c>
      <c r="E22" s="144">
        <f>B19</f>
        <v>0.75</v>
      </c>
      <c r="F22" s="21">
        <f>F21*E22</f>
        <v>42.375</v>
      </c>
      <c r="G22" s="149"/>
      <c r="H22" s="84" t="s">
        <v>98</v>
      </c>
      <c r="I22" s="81" t="s">
        <v>25</v>
      </c>
      <c r="J22" s="124">
        <f>SUM(F25)</f>
        <v>735</v>
      </c>
    </row>
    <row r="23" spans="1:11" x14ac:dyDescent="0.25">
      <c r="A23" s="54" t="s">
        <v>21</v>
      </c>
      <c r="B23" s="16">
        <v>1.75</v>
      </c>
      <c r="C23" s="137"/>
      <c r="D23" s="126" t="s">
        <v>71</v>
      </c>
      <c r="E23" s="4">
        <f>B18</f>
        <v>28.25</v>
      </c>
      <c r="F23" s="21">
        <f>B21*B18</f>
        <v>56.5</v>
      </c>
      <c r="G23" s="24">
        <f>B21</f>
        <v>2</v>
      </c>
      <c r="H23" s="84" t="s">
        <v>86</v>
      </c>
      <c r="I23" s="81" t="s">
        <v>52</v>
      </c>
      <c r="J23" s="124">
        <f>SUM(F28)</f>
        <v>753.33333333333326</v>
      </c>
    </row>
    <row r="24" spans="1:11" x14ac:dyDescent="0.25">
      <c r="A24" s="54" t="s">
        <v>23</v>
      </c>
      <c r="B24" s="16">
        <v>2</v>
      </c>
      <c r="C24" s="137"/>
      <c r="D24" s="126" t="s">
        <v>72</v>
      </c>
      <c r="E24" s="144">
        <f>B19</f>
        <v>0.75</v>
      </c>
      <c r="F24" s="21">
        <f>F23*E24</f>
        <v>42.375</v>
      </c>
      <c r="G24" s="149"/>
      <c r="H24" s="84" t="s">
        <v>87</v>
      </c>
      <c r="I24" s="81" t="s">
        <v>54</v>
      </c>
      <c r="J24" s="124">
        <f>SUM(F30)</f>
        <v>376.66666666666669</v>
      </c>
    </row>
    <row r="25" spans="1:11" x14ac:dyDescent="0.25">
      <c r="A25" s="55" t="s">
        <v>24</v>
      </c>
      <c r="B25" s="44">
        <v>250</v>
      </c>
      <c r="C25" s="137"/>
      <c r="D25" s="145" t="s">
        <v>25</v>
      </c>
      <c r="E25" s="146">
        <f>B22</f>
        <v>21</v>
      </c>
      <c r="F25" s="105">
        <f>B22*B23*E9</f>
        <v>735</v>
      </c>
      <c r="G25" s="150" t="s">
        <v>26</v>
      </c>
      <c r="H25" s="84" t="s">
        <v>88</v>
      </c>
      <c r="I25" s="81" t="s">
        <v>144</v>
      </c>
      <c r="J25" s="124">
        <f>SUM(F32,K41,G69)</f>
        <v>627</v>
      </c>
    </row>
    <row r="26" spans="1:11" x14ac:dyDescent="0.25">
      <c r="A26" s="55" t="s">
        <v>60</v>
      </c>
      <c r="B26" s="44">
        <v>850</v>
      </c>
      <c r="C26" s="137"/>
      <c r="D26" s="145" t="s">
        <v>58</v>
      </c>
      <c r="E26" s="147">
        <f>B19</f>
        <v>0.75</v>
      </c>
      <c r="F26" s="105">
        <f>F25*E26</f>
        <v>551.25</v>
      </c>
      <c r="G26" s="149"/>
      <c r="H26" s="89"/>
      <c r="I26" s="5" t="s">
        <v>27</v>
      </c>
      <c r="J26" s="27">
        <f>SUM(J21:J25)</f>
        <v>2605</v>
      </c>
      <c r="K26" s="3"/>
    </row>
    <row r="27" spans="1:11" x14ac:dyDescent="0.25">
      <c r="A27" s="55" t="s">
        <v>96</v>
      </c>
      <c r="B27" s="44">
        <v>750</v>
      </c>
      <c r="C27" s="138"/>
      <c r="D27" s="126" t="s">
        <v>51</v>
      </c>
      <c r="E27" s="4">
        <f>B18</f>
        <v>28.25</v>
      </c>
      <c r="F27" s="21">
        <f>B18*B24*E9</f>
        <v>1130</v>
      </c>
      <c r="G27" s="24">
        <f>B24*E9</f>
        <v>40</v>
      </c>
      <c r="H27" s="84" t="s">
        <v>83</v>
      </c>
      <c r="I27" s="5" t="s">
        <v>59</v>
      </c>
      <c r="J27" s="29">
        <f>SUM(F22,F24,F26,F29,F31,F33,K42,G70)</f>
        <v>1953.75</v>
      </c>
    </row>
    <row r="28" spans="1:11" x14ac:dyDescent="0.25">
      <c r="A28" s="52" t="s">
        <v>154</v>
      </c>
      <c r="B28" s="44">
        <v>33</v>
      </c>
      <c r="C28" s="133"/>
      <c r="D28" s="126" t="s">
        <v>52</v>
      </c>
      <c r="E28" s="4">
        <f>F27-E30</f>
        <v>753.33333333333326</v>
      </c>
      <c r="F28" s="21">
        <f>E28</f>
        <v>753.33333333333326</v>
      </c>
      <c r="G28" s="24">
        <f>F28/E27</f>
        <v>26.666666666666664</v>
      </c>
      <c r="H28" s="89"/>
      <c r="I28" s="5" t="s">
        <v>106</v>
      </c>
      <c r="J28" s="28">
        <f>SUM(J15:J25,J27)</f>
        <v>24557.48</v>
      </c>
    </row>
    <row r="29" spans="1:11" ht="15.75" thickBot="1" x14ac:dyDescent="0.3">
      <c r="A29" s="56" t="s">
        <v>65</v>
      </c>
      <c r="B29" s="57">
        <v>16</v>
      </c>
      <c r="C29" s="139"/>
      <c r="D29" s="126" t="s">
        <v>53</v>
      </c>
      <c r="E29" s="144">
        <f>B19</f>
        <v>0.75</v>
      </c>
      <c r="F29" s="21">
        <f>F28*E29</f>
        <v>565</v>
      </c>
      <c r="G29" s="151"/>
      <c r="H29" s="89"/>
      <c r="I29" s="41" t="s">
        <v>107</v>
      </c>
      <c r="J29" s="26">
        <f>SUM(J28+J13)</f>
        <v>27726.98</v>
      </c>
    </row>
    <row r="30" spans="1:11" ht="15.75" thickTop="1" x14ac:dyDescent="0.25">
      <c r="C30" s="1"/>
      <c r="D30" s="126" t="s">
        <v>54</v>
      </c>
      <c r="E30" s="4">
        <f>F27/3</f>
        <v>376.66666666666669</v>
      </c>
      <c r="F30" s="21">
        <f>E30</f>
        <v>376.66666666666669</v>
      </c>
      <c r="G30" s="24">
        <f>F30/E27</f>
        <v>13.333333333333334</v>
      </c>
      <c r="H30" s="89"/>
      <c r="I30" s="120" t="s">
        <v>48</v>
      </c>
      <c r="J30" s="38">
        <f>J28/E7</f>
        <v>2.7906227272727273</v>
      </c>
    </row>
    <row r="31" spans="1:11" x14ac:dyDescent="0.25">
      <c r="C31" s="1"/>
      <c r="D31" s="126" t="s">
        <v>56</v>
      </c>
      <c r="E31" s="144">
        <f>B19</f>
        <v>0.75</v>
      </c>
      <c r="F31" s="21">
        <f>F30*E31</f>
        <v>282.5</v>
      </c>
      <c r="G31" s="151"/>
      <c r="H31" s="19"/>
      <c r="I31" s="120" t="s">
        <v>49</v>
      </c>
      <c r="J31" s="38">
        <f>J30+J14</f>
        <v>3.150793181818182</v>
      </c>
    </row>
    <row r="32" spans="1:11" x14ac:dyDescent="0.25">
      <c r="C32" s="1"/>
      <c r="D32" s="126" t="s">
        <v>63</v>
      </c>
      <c r="E32" s="4">
        <f>B28</f>
        <v>33</v>
      </c>
      <c r="F32" s="21">
        <f>G32*E32</f>
        <v>528</v>
      </c>
      <c r="G32" s="24">
        <f>B29</f>
        <v>16</v>
      </c>
      <c r="H32" s="19"/>
      <c r="I32" s="8" t="s">
        <v>108</v>
      </c>
      <c r="J32" s="92">
        <f>SUM(G21,G23,G28,G30,G32,L41,H69)</f>
        <v>63</v>
      </c>
    </row>
    <row r="33" spans="1:12" ht="15.75" thickBot="1" x14ac:dyDescent="0.3">
      <c r="C33" s="1"/>
      <c r="D33" s="148" t="s">
        <v>64</v>
      </c>
      <c r="E33" s="18">
        <f>B19</f>
        <v>0.75</v>
      </c>
      <c r="F33" s="22">
        <f>F32*E33</f>
        <v>396</v>
      </c>
      <c r="G33" s="152"/>
      <c r="H33" s="19"/>
      <c r="I33" s="8" t="s">
        <v>109</v>
      </c>
      <c r="J33" s="92">
        <f>SUM(G21,G23)</f>
        <v>4</v>
      </c>
    </row>
    <row r="34" spans="1:12" ht="15.75" thickTop="1" x14ac:dyDescent="0.25">
      <c r="H34" s="89"/>
      <c r="I34" s="121" t="s">
        <v>110</v>
      </c>
      <c r="J34" s="92">
        <f>SUM(G28)</f>
        <v>26.666666666666664</v>
      </c>
    </row>
    <row r="35" spans="1:12" x14ac:dyDescent="0.25">
      <c r="H35" s="89"/>
      <c r="I35" s="121" t="s">
        <v>111</v>
      </c>
      <c r="J35" s="92">
        <f>SUM(G30)</f>
        <v>13.333333333333334</v>
      </c>
    </row>
    <row r="36" spans="1:12" ht="15.75" thickBot="1" x14ac:dyDescent="0.3">
      <c r="H36" s="35"/>
      <c r="I36" s="103" t="s">
        <v>112</v>
      </c>
      <c r="J36" s="93">
        <f>SUM(G32,L41,H69)</f>
        <v>19</v>
      </c>
    </row>
    <row r="37" spans="1:12" ht="15.75" thickTop="1" x14ac:dyDescent="0.25">
      <c r="K37" s="13"/>
      <c r="L37" s="7"/>
    </row>
    <row r="38" spans="1:12" ht="15.75" thickBot="1" x14ac:dyDescent="0.3">
      <c r="J38" s="45"/>
      <c r="K38" s="2"/>
    </row>
    <row r="39" spans="1:12" ht="18.75" x14ac:dyDescent="0.3">
      <c r="A39" s="94" t="s">
        <v>82</v>
      </c>
      <c r="B39" s="94"/>
      <c r="C39" s="95" t="s">
        <v>79</v>
      </c>
      <c r="D39" s="96"/>
      <c r="E39" s="8" t="s">
        <v>20</v>
      </c>
      <c r="F39" s="39" t="s">
        <v>78</v>
      </c>
      <c r="G39" s="39" t="s">
        <v>12</v>
      </c>
      <c r="H39" s="39" t="s">
        <v>134</v>
      </c>
      <c r="I39" s="39" t="s">
        <v>133</v>
      </c>
      <c r="J39" s="155" t="s">
        <v>128</v>
      </c>
      <c r="K39" s="156">
        <f>SUM(D40:D47,D49:D52,D55:D56,D58:D63)</f>
        <v>3110</v>
      </c>
      <c r="L39" s="157"/>
    </row>
    <row r="40" spans="1:12" x14ac:dyDescent="0.25">
      <c r="A40" s="6" t="s">
        <v>28</v>
      </c>
      <c r="B40" s="174">
        <v>500</v>
      </c>
      <c r="C40" s="42">
        <v>1</v>
      </c>
      <c r="D40" s="43">
        <f t="shared" ref="D40:D47" si="0">B40*C40</f>
        <v>500</v>
      </c>
      <c r="E40" s="39">
        <f>C40*3</f>
        <v>3</v>
      </c>
      <c r="F40" s="40">
        <f>E40*B28</f>
        <v>99</v>
      </c>
      <c r="G40" s="40">
        <f t="shared" ref="G40:G47" si="1">F40*75%</f>
        <v>74.25</v>
      </c>
      <c r="H40" s="3">
        <f>D40-F40-G40</f>
        <v>326.75</v>
      </c>
      <c r="I40" s="41">
        <f>H40/1.25</f>
        <v>261.39999999999998</v>
      </c>
      <c r="J40" s="158" t="s">
        <v>81</v>
      </c>
      <c r="K40" s="153">
        <f>SUM(I40:I46,I49:I51)</f>
        <v>261.39999999999998</v>
      </c>
      <c r="L40" s="159" t="s">
        <v>20</v>
      </c>
    </row>
    <row r="41" spans="1:12" x14ac:dyDescent="0.25">
      <c r="A41" s="6" t="s">
        <v>32</v>
      </c>
      <c r="B41" s="174">
        <v>600</v>
      </c>
      <c r="C41" s="42">
        <v>0</v>
      </c>
      <c r="D41" s="43">
        <f t="shared" si="0"/>
        <v>0</v>
      </c>
      <c r="E41" s="39">
        <f>C41*3</f>
        <v>0</v>
      </c>
      <c r="F41" s="40">
        <f>E41*B28</f>
        <v>0</v>
      </c>
      <c r="G41" s="40">
        <f t="shared" si="1"/>
        <v>0</v>
      </c>
      <c r="H41" s="3">
        <f t="shared" ref="H41:H45" si="2">D41-F41-G41</f>
        <v>0</v>
      </c>
      <c r="I41" s="41">
        <f t="shared" ref="I41:I46" si="3">H41/1.25</f>
        <v>0</v>
      </c>
      <c r="J41" s="160" t="s">
        <v>34</v>
      </c>
      <c r="K41" s="154">
        <f>SUM(F40:F47,F49:F52)</f>
        <v>99</v>
      </c>
      <c r="L41" s="166">
        <f>SUM(E40:E47,E49:E52)</f>
        <v>3</v>
      </c>
    </row>
    <row r="42" spans="1:12" x14ac:dyDescent="0.25">
      <c r="A42" s="6" t="s">
        <v>97</v>
      </c>
      <c r="B42" s="177">
        <v>450</v>
      </c>
      <c r="C42" s="42">
        <v>0</v>
      </c>
      <c r="D42" s="43">
        <f t="shared" si="0"/>
        <v>0</v>
      </c>
      <c r="E42" s="8">
        <f>C42*4</f>
        <v>0</v>
      </c>
      <c r="F42" s="40">
        <f>E42*B28</f>
        <v>0</v>
      </c>
      <c r="G42" s="40">
        <f t="shared" si="1"/>
        <v>0</v>
      </c>
      <c r="H42" s="3">
        <f t="shared" si="2"/>
        <v>0</v>
      </c>
      <c r="I42" s="41">
        <f t="shared" si="3"/>
        <v>0</v>
      </c>
      <c r="J42" s="160" t="s">
        <v>76</v>
      </c>
      <c r="K42" s="154">
        <f>SUM(G40:G47,G49:G52)</f>
        <v>74.25</v>
      </c>
      <c r="L42" s="162"/>
    </row>
    <row r="43" spans="1:12" x14ac:dyDescent="0.25">
      <c r="A43" s="6" t="s">
        <v>120</v>
      </c>
      <c r="B43" s="174">
        <v>2850</v>
      </c>
      <c r="C43" s="42">
        <v>0</v>
      </c>
      <c r="D43" s="43">
        <f t="shared" si="0"/>
        <v>0</v>
      </c>
      <c r="E43" s="39">
        <f>C43*16</f>
        <v>0</v>
      </c>
      <c r="F43" s="41">
        <f>E43*B28</f>
        <v>0</v>
      </c>
      <c r="G43" s="41">
        <f t="shared" si="1"/>
        <v>0</v>
      </c>
      <c r="H43" s="3">
        <f t="shared" si="2"/>
        <v>0</v>
      </c>
      <c r="I43" s="41">
        <f t="shared" si="3"/>
        <v>0</v>
      </c>
      <c r="J43" s="158" t="s">
        <v>80</v>
      </c>
      <c r="K43" s="41">
        <f>SUM(K41:K42)</f>
        <v>173.25</v>
      </c>
      <c r="L43" s="162"/>
    </row>
    <row r="44" spans="1:12" ht="15.75" thickBot="1" x14ac:dyDescent="0.3">
      <c r="A44" s="68" t="s">
        <v>43</v>
      </c>
      <c r="B44" s="178">
        <v>4950</v>
      </c>
      <c r="C44" s="69">
        <v>0</v>
      </c>
      <c r="D44" s="70">
        <f t="shared" si="0"/>
        <v>0</v>
      </c>
      <c r="E44" s="39">
        <f>C44*16</f>
        <v>0</v>
      </c>
      <c r="F44" s="41">
        <f>E44*B28</f>
        <v>0</v>
      </c>
      <c r="G44" s="41">
        <f t="shared" si="1"/>
        <v>0</v>
      </c>
      <c r="H44" s="3">
        <f t="shared" si="2"/>
        <v>0</v>
      </c>
      <c r="I44" s="41">
        <f t="shared" si="3"/>
        <v>0</v>
      </c>
      <c r="J44" s="163" t="s">
        <v>135</v>
      </c>
      <c r="K44" s="164">
        <f>SUM(K40,K43)</f>
        <v>434.65</v>
      </c>
      <c r="L44" s="167"/>
    </row>
    <row r="45" spans="1:12" x14ac:dyDescent="0.25">
      <c r="A45" s="75" t="s">
        <v>121</v>
      </c>
      <c r="B45" s="179">
        <v>2500</v>
      </c>
      <c r="C45" s="69">
        <v>0</v>
      </c>
      <c r="D45" s="70">
        <f t="shared" si="0"/>
        <v>0</v>
      </c>
      <c r="E45" s="39">
        <f>C45*16</f>
        <v>0</v>
      </c>
      <c r="F45" s="41">
        <f>E45*B28</f>
        <v>0</v>
      </c>
      <c r="G45" s="41">
        <f t="shared" si="1"/>
        <v>0</v>
      </c>
      <c r="H45" s="3">
        <f t="shared" si="2"/>
        <v>0</v>
      </c>
      <c r="I45" s="41">
        <f t="shared" si="3"/>
        <v>0</v>
      </c>
    </row>
    <row r="46" spans="1:12" x14ac:dyDescent="0.25">
      <c r="A46" s="75" t="s">
        <v>126</v>
      </c>
      <c r="B46" s="179">
        <v>2950</v>
      </c>
      <c r="C46" s="69">
        <v>0</v>
      </c>
      <c r="D46" s="70">
        <f t="shared" si="0"/>
        <v>0</v>
      </c>
      <c r="E46" s="39">
        <f>C46*4</f>
        <v>0</v>
      </c>
      <c r="F46" s="41">
        <f>E46*B28</f>
        <v>0</v>
      </c>
      <c r="G46" s="41">
        <f t="shared" si="1"/>
        <v>0</v>
      </c>
      <c r="H46" s="3">
        <f>D46-F46-G46</f>
        <v>0</v>
      </c>
      <c r="I46" s="41">
        <f t="shared" si="3"/>
        <v>0</v>
      </c>
    </row>
    <row r="47" spans="1:12" x14ac:dyDescent="0.25">
      <c r="A47" s="75" t="s">
        <v>124</v>
      </c>
      <c r="B47" s="179">
        <v>350</v>
      </c>
      <c r="C47" s="69">
        <v>0</v>
      </c>
      <c r="D47" s="70">
        <f t="shared" si="0"/>
        <v>0</v>
      </c>
      <c r="E47" s="39">
        <f>C47*2</f>
        <v>0</v>
      </c>
      <c r="F47" s="41">
        <f>E47*B18</f>
        <v>0</v>
      </c>
      <c r="G47" s="41">
        <f t="shared" si="1"/>
        <v>0</v>
      </c>
      <c r="H47" s="3">
        <f>D47-F47-G47</f>
        <v>0</v>
      </c>
    </row>
    <row r="48" spans="1:12" x14ac:dyDescent="0.25">
      <c r="A48" s="77"/>
      <c r="B48" s="78"/>
      <c r="C48" s="79"/>
      <c r="D48" s="77"/>
      <c r="E48" s="77"/>
      <c r="F48" s="39" t="s">
        <v>78</v>
      </c>
      <c r="G48" s="39" t="s">
        <v>12</v>
      </c>
      <c r="H48" s="39" t="s">
        <v>134</v>
      </c>
      <c r="I48" s="39" t="s">
        <v>133</v>
      </c>
    </row>
    <row r="49" spans="1:12" x14ac:dyDescent="0.25">
      <c r="A49" s="6" t="s">
        <v>37</v>
      </c>
      <c r="B49" s="174">
        <v>0.1</v>
      </c>
      <c r="C49" s="42">
        <v>0</v>
      </c>
      <c r="D49" s="43">
        <f>B49*E7*C49</f>
        <v>0</v>
      </c>
      <c r="E49" s="66">
        <f>F49/B28</f>
        <v>0</v>
      </c>
      <c r="F49" s="41">
        <f>IF(C49=1,0.02*E7,0)</f>
        <v>0</v>
      </c>
      <c r="G49" s="40">
        <f t="shared" ref="G49:G51" si="4">F49*75%</f>
        <v>0</v>
      </c>
      <c r="H49" s="3">
        <f t="shared" ref="H49:H51" si="5">D49-F49-G49</f>
        <v>0</v>
      </c>
      <c r="I49" s="41">
        <f t="shared" ref="I49:I51" si="6">H49/1.25</f>
        <v>0</v>
      </c>
    </row>
    <row r="50" spans="1:12" x14ac:dyDescent="0.25">
      <c r="A50" s="6" t="s">
        <v>29</v>
      </c>
      <c r="B50" s="174">
        <v>0.1</v>
      </c>
      <c r="C50" s="42">
        <v>0</v>
      </c>
      <c r="D50" s="43">
        <f>B50*E7*C50</f>
        <v>0</v>
      </c>
      <c r="E50" s="66">
        <f>F50/B28</f>
        <v>0</v>
      </c>
      <c r="F50" s="41">
        <f>IF(C50=1,0.02*E7,0)</f>
        <v>0</v>
      </c>
      <c r="G50" s="40">
        <f t="shared" si="4"/>
        <v>0</v>
      </c>
      <c r="H50" s="3">
        <f t="shared" si="5"/>
        <v>0</v>
      </c>
      <c r="I50" s="41">
        <f t="shared" si="6"/>
        <v>0</v>
      </c>
    </row>
    <row r="51" spans="1:12" x14ac:dyDescent="0.25">
      <c r="A51" s="6" t="s">
        <v>39</v>
      </c>
      <c r="B51" s="177">
        <v>0.02</v>
      </c>
      <c r="C51" s="42">
        <v>0</v>
      </c>
      <c r="D51" s="43">
        <f>B51*E7*C51</f>
        <v>0</v>
      </c>
      <c r="E51" s="66">
        <f>F51/B28</f>
        <v>0</v>
      </c>
      <c r="F51" s="41">
        <f>IF(C51=1,0.005*E7,0)</f>
        <v>0</v>
      </c>
      <c r="G51" s="40">
        <f t="shared" si="4"/>
        <v>0</v>
      </c>
      <c r="H51" s="3">
        <f t="shared" si="5"/>
        <v>0</v>
      </c>
      <c r="I51" s="41">
        <f t="shared" si="6"/>
        <v>0</v>
      </c>
    </row>
    <row r="52" spans="1:12" x14ac:dyDescent="0.25">
      <c r="A52" s="80" t="s">
        <v>125</v>
      </c>
      <c r="B52" s="177">
        <v>750</v>
      </c>
      <c r="C52" s="42">
        <v>0</v>
      </c>
      <c r="D52" s="43">
        <f>B52*C52</f>
        <v>0</v>
      </c>
      <c r="E52" s="39">
        <f>IF(C52=1,12,0)</f>
        <v>0</v>
      </c>
      <c r="F52" s="104">
        <f>E52*B18</f>
        <v>0</v>
      </c>
      <c r="G52" s="40">
        <f>F52*B19</f>
        <v>0</v>
      </c>
      <c r="H52" s="3"/>
      <c r="I52" s="41"/>
    </row>
    <row r="54" spans="1:12" x14ac:dyDescent="0.25">
      <c r="A54" s="77"/>
      <c r="B54" s="78"/>
      <c r="C54" s="79"/>
      <c r="D54" s="77"/>
      <c r="E54" s="39" t="s">
        <v>139</v>
      </c>
      <c r="F54" s="106"/>
      <c r="G54" s="106"/>
      <c r="I54" s="102"/>
      <c r="J54" s="2"/>
      <c r="L54" s="3"/>
    </row>
    <row r="55" spans="1:12" x14ac:dyDescent="0.25">
      <c r="A55" s="6" t="s">
        <v>146</v>
      </c>
      <c r="B55" s="174">
        <v>500</v>
      </c>
      <c r="C55" s="42">
        <v>1</v>
      </c>
      <c r="D55" s="43">
        <f>B55*C55</f>
        <v>500</v>
      </c>
      <c r="E55" s="109">
        <f>IF(C55=1,250,0)</f>
        <v>250</v>
      </c>
      <c r="F55" s="17"/>
      <c r="G55" s="2"/>
      <c r="J55" s="2"/>
      <c r="L55" s="3"/>
    </row>
    <row r="56" spans="1:12" x14ac:dyDescent="0.25">
      <c r="A56" s="6" t="s">
        <v>31</v>
      </c>
      <c r="B56" s="174">
        <v>0.1</v>
      </c>
      <c r="C56" s="42">
        <v>1</v>
      </c>
      <c r="D56" s="43">
        <f>B56*E7*C56</f>
        <v>880</v>
      </c>
      <c r="E56" s="109">
        <f>IF(C56=1,E7*0.06,0)</f>
        <v>528</v>
      </c>
      <c r="F56" s="17"/>
      <c r="G56" s="2"/>
    </row>
    <row r="57" spans="1:12" x14ac:dyDescent="0.25">
      <c r="A57" s="77"/>
      <c r="B57" s="78"/>
      <c r="C57" s="79"/>
      <c r="D57" s="77"/>
    </row>
    <row r="58" spans="1:12" x14ac:dyDescent="0.25">
      <c r="A58" s="6" t="s">
        <v>35</v>
      </c>
      <c r="B58" s="174">
        <v>1250</v>
      </c>
      <c r="C58" s="42">
        <v>0</v>
      </c>
      <c r="D58" s="43">
        <f t="shared" ref="D58:D63" si="7">B58*C58</f>
        <v>0</v>
      </c>
      <c r="E58" s="5" t="s">
        <v>132</v>
      </c>
      <c r="F58" s="41"/>
      <c r="G58" s="41"/>
    </row>
    <row r="59" spans="1:12" x14ac:dyDescent="0.25">
      <c r="A59" s="6" t="s">
        <v>36</v>
      </c>
      <c r="B59" s="174">
        <v>1000</v>
      </c>
      <c r="C59" s="42">
        <v>0</v>
      </c>
      <c r="D59" s="43">
        <f t="shared" si="7"/>
        <v>0</v>
      </c>
      <c r="E59" s="5" t="s">
        <v>132</v>
      </c>
    </row>
    <row r="60" spans="1:12" x14ac:dyDescent="0.25">
      <c r="A60" s="6" t="s">
        <v>41</v>
      </c>
      <c r="B60" s="174">
        <v>30</v>
      </c>
      <c r="C60" s="42">
        <v>1</v>
      </c>
      <c r="D60" s="43">
        <f t="shared" si="7"/>
        <v>30</v>
      </c>
      <c r="E60" s="108">
        <f>D60</f>
        <v>30</v>
      </c>
      <c r="F60" s="40"/>
      <c r="G60" s="41"/>
    </row>
    <row r="61" spans="1:12" x14ac:dyDescent="0.25">
      <c r="A61" s="80" t="s">
        <v>122</v>
      </c>
      <c r="B61" s="177">
        <v>100</v>
      </c>
      <c r="C61" s="42">
        <v>1</v>
      </c>
      <c r="D61" s="43">
        <f t="shared" si="7"/>
        <v>100</v>
      </c>
      <c r="E61" s="108">
        <f>D61</f>
        <v>100</v>
      </c>
      <c r="F61" s="126"/>
      <c r="G61" s="41"/>
      <c r="H61" s="4"/>
    </row>
    <row r="62" spans="1:12" x14ac:dyDescent="0.25">
      <c r="A62" s="75" t="s">
        <v>123</v>
      </c>
      <c r="B62" s="179">
        <v>600</v>
      </c>
      <c r="C62" s="69">
        <v>1</v>
      </c>
      <c r="D62" s="70">
        <f t="shared" si="7"/>
        <v>600</v>
      </c>
      <c r="E62" s="108">
        <f>D62</f>
        <v>600</v>
      </c>
      <c r="F62" s="126"/>
      <c r="G62" s="41"/>
      <c r="H62" s="4"/>
    </row>
    <row r="63" spans="1:12" x14ac:dyDescent="0.25">
      <c r="A63" s="80" t="s">
        <v>127</v>
      </c>
      <c r="B63" s="177">
        <v>500</v>
      </c>
      <c r="C63" s="42">
        <v>1</v>
      </c>
      <c r="D63" s="43">
        <f t="shared" si="7"/>
        <v>500</v>
      </c>
      <c r="E63" s="109">
        <f>D63</f>
        <v>500</v>
      </c>
      <c r="F63" s="125"/>
      <c r="G63" s="41"/>
    </row>
    <row r="64" spans="1:12" x14ac:dyDescent="0.25">
      <c r="A64" s="77"/>
      <c r="B64" s="78"/>
      <c r="C64" s="79"/>
      <c r="D64" s="77"/>
      <c r="F64"/>
    </row>
    <row r="65" spans="1:8" x14ac:dyDescent="0.25">
      <c r="A65" s="81"/>
      <c r="B65" s="67"/>
      <c r="D65" s="40"/>
      <c r="E65" s="5"/>
      <c r="F65"/>
      <c r="G65" s="9"/>
    </row>
    <row r="66" spans="1:8" ht="15.75" thickBot="1" x14ac:dyDescent="0.3">
      <c r="A66" s="17"/>
      <c r="B66" s="67"/>
      <c r="D66" s="40"/>
      <c r="E66" s="5"/>
      <c r="F66"/>
      <c r="G66" s="9"/>
    </row>
    <row r="67" spans="1:8" x14ac:dyDescent="0.25">
      <c r="A67" s="74" t="s">
        <v>115</v>
      </c>
      <c r="B67" s="74"/>
      <c r="C67" s="74"/>
      <c r="D67" s="74"/>
      <c r="E67" s="5"/>
      <c r="F67" s="155" t="s">
        <v>129</v>
      </c>
      <c r="G67" s="156">
        <f>SUM(D68,D76,D84,D92,D100)</f>
        <v>0</v>
      </c>
      <c r="H67" s="157"/>
    </row>
    <row r="68" spans="1:8" x14ac:dyDescent="0.25">
      <c r="A68" s="6" t="s">
        <v>99</v>
      </c>
      <c r="B68" s="11"/>
      <c r="C68" s="12"/>
      <c r="D68" s="63">
        <f>SUM(D69:D72)</f>
        <v>0</v>
      </c>
      <c r="E68" s="5"/>
      <c r="F68" s="158" t="s">
        <v>81</v>
      </c>
      <c r="G68" s="153">
        <f>SUM(D70,D78,D86,D94,D102)</f>
        <v>0</v>
      </c>
      <c r="H68" s="159" t="s">
        <v>20</v>
      </c>
    </row>
    <row r="69" spans="1:8" x14ac:dyDescent="0.25">
      <c r="A69" s="6" t="s">
        <v>103</v>
      </c>
      <c r="B69" s="76">
        <v>0.25</v>
      </c>
      <c r="C69" s="58"/>
      <c r="D69" s="60">
        <f>D70*B69</f>
        <v>0</v>
      </c>
      <c r="F69" s="160" t="s">
        <v>34</v>
      </c>
      <c r="G69" s="154">
        <f>SUM(D71,D79,D87,D95,D103)</f>
        <v>0</v>
      </c>
      <c r="H69" s="159">
        <f>SUM(E71,E79,E87,E95,E103)</f>
        <v>0</v>
      </c>
    </row>
    <row r="70" spans="1:8" x14ac:dyDescent="0.25">
      <c r="A70" s="6" t="s">
        <v>102</v>
      </c>
      <c r="B70" s="10"/>
      <c r="C70" s="58"/>
      <c r="D70" s="62"/>
      <c r="E70" s="17"/>
      <c r="F70" s="160" t="s">
        <v>76</v>
      </c>
      <c r="G70" s="154">
        <f>SUM(D72,D80,D88,D96,D104)</f>
        <v>0</v>
      </c>
      <c r="H70" s="161"/>
    </row>
    <row r="71" spans="1:8" x14ac:dyDescent="0.25">
      <c r="A71" s="6" t="s">
        <v>44</v>
      </c>
      <c r="B71" s="59" t="s">
        <v>100</v>
      </c>
      <c r="C71" s="61"/>
      <c r="D71" s="60">
        <f>B28*C71</f>
        <v>0</v>
      </c>
      <c r="E71" s="39">
        <f>C71</f>
        <v>0</v>
      </c>
      <c r="F71" s="158" t="s">
        <v>80</v>
      </c>
      <c r="G71" s="41">
        <f>SUM(G69:G70)</f>
        <v>0</v>
      </c>
      <c r="H71" s="162"/>
    </row>
    <row r="72" spans="1:8" ht="15.75" thickBot="1" x14ac:dyDescent="0.3">
      <c r="A72" s="6" t="s">
        <v>101</v>
      </c>
      <c r="B72" s="59"/>
      <c r="C72" s="58"/>
      <c r="D72" s="60">
        <f>D71*75%</f>
        <v>0</v>
      </c>
      <c r="E72" s="17"/>
      <c r="F72" s="163" t="s">
        <v>135</v>
      </c>
      <c r="G72" s="164">
        <f>SUM(G68,G71)</f>
        <v>0</v>
      </c>
      <c r="H72" s="165"/>
    </row>
    <row r="73" spans="1:8" x14ac:dyDescent="0.25">
      <c r="F73"/>
      <c r="G73" s="2"/>
      <c r="H73"/>
    </row>
    <row r="75" spans="1:8" x14ac:dyDescent="0.25">
      <c r="A75" s="74" t="s">
        <v>115</v>
      </c>
      <c r="B75" s="74"/>
      <c r="C75" s="74"/>
      <c r="D75" s="74"/>
    </row>
    <row r="76" spans="1:8" x14ac:dyDescent="0.25">
      <c r="A76" s="6" t="s">
        <v>99</v>
      </c>
      <c r="B76" s="11"/>
      <c r="C76" s="12"/>
      <c r="D76" s="63">
        <f>SUM(D77:D80)</f>
        <v>0</v>
      </c>
      <c r="E76" s="5"/>
      <c r="F76"/>
    </row>
    <row r="77" spans="1:8" x14ac:dyDescent="0.25">
      <c r="A77" s="6" t="s">
        <v>103</v>
      </c>
      <c r="B77" s="76">
        <v>0.25</v>
      </c>
      <c r="C77" s="58"/>
      <c r="D77" s="60">
        <f>D78*B77</f>
        <v>0</v>
      </c>
    </row>
    <row r="78" spans="1:8" x14ac:dyDescent="0.25">
      <c r="A78" s="6" t="s">
        <v>102</v>
      </c>
      <c r="B78" s="10"/>
      <c r="C78" s="58"/>
      <c r="D78" s="62">
        <v>0</v>
      </c>
      <c r="E78" s="17"/>
    </row>
    <row r="79" spans="1:8" x14ac:dyDescent="0.25">
      <c r="A79" s="6" t="s">
        <v>44</v>
      </c>
      <c r="B79" s="59" t="s">
        <v>100</v>
      </c>
      <c r="C79" s="61">
        <v>0</v>
      </c>
      <c r="D79" s="60">
        <f>B28*C79</f>
        <v>0</v>
      </c>
      <c r="E79" s="39">
        <f>C79</f>
        <v>0</v>
      </c>
      <c r="F79" s="17"/>
    </row>
    <row r="80" spans="1:8" x14ac:dyDescent="0.25">
      <c r="A80" s="6" t="s">
        <v>101</v>
      </c>
      <c r="B80" s="59"/>
      <c r="C80" s="58"/>
      <c r="D80" s="60">
        <f>D79*75%</f>
        <v>0</v>
      </c>
      <c r="E80" s="17"/>
    </row>
    <row r="83" spans="1:5" x14ac:dyDescent="0.25">
      <c r="A83" s="74" t="s">
        <v>115</v>
      </c>
      <c r="B83" s="74"/>
      <c r="C83" s="74"/>
      <c r="D83" s="74"/>
    </row>
    <row r="84" spans="1:5" x14ac:dyDescent="0.25">
      <c r="A84" s="6" t="s">
        <v>99</v>
      </c>
      <c r="B84" s="11"/>
      <c r="C84" s="12"/>
      <c r="D84" s="63">
        <f>SUM(D85:D88)</f>
        <v>0</v>
      </c>
      <c r="E84" s="5"/>
    </row>
    <row r="85" spans="1:5" x14ac:dyDescent="0.25">
      <c r="A85" s="6" t="s">
        <v>103</v>
      </c>
      <c r="B85" s="76">
        <v>0.25</v>
      </c>
      <c r="C85" s="58"/>
      <c r="D85" s="60">
        <f>D86*B85</f>
        <v>0</v>
      </c>
    </row>
    <row r="86" spans="1:5" x14ac:dyDescent="0.25">
      <c r="A86" s="6" t="s">
        <v>102</v>
      </c>
      <c r="B86" s="10"/>
      <c r="C86" s="58"/>
      <c r="D86" s="62">
        <v>0</v>
      </c>
      <c r="E86" s="17"/>
    </row>
    <row r="87" spans="1:5" x14ac:dyDescent="0.25">
      <c r="A87" s="6" t="s">
        <v>44</v>
      </c>
      <c r="B87" s="59" t="s">
        <v>100</v>
      </c>
      <c r="C87" s="61">
        <v>0</v>
      </c>
      <c r="D87" s="60">
        <f>B28*C87</f>
        <v>0</v>
      </c>
      <c r="E87" s="39">
        <f>C87</f>
        <v>0</v>
      </c>
    </row>
    <row r="88" spans="1:5" x14ac:dyDescent="0.25">
      <c r="A88" s="6" t="s">
        <v>101</v>
      </c>
      <c r="B88" s="59"/>
      <c r="C88" s="58"/>
      <c r="D88" s="60">
        <f>D87*75%</f>
        <v>0</v>
      </c>
      <c r="E88" s="17"/>
    </row>
    <row r="91" spans="1:5" x14ac:dyDescent="0.25">
      <c r="A91" s="74" t="s">
        <v>115</v>
      </c>
      <c r="B91" s="74"/>
      <c r="C91" s="74"/>
      <c r="D91" s="74"/>
    </row>
    <row r="92" spans="1:5" x14ac:dyDescent="0.25">
      <c r="A92" s="6" t="s">
        <v>99</v>
      </c>
      <c r="B92" s="11"/>
      <c r="C92" s="12"/>
      <c r="D92" s="63">
        <f>SUM(D93:D96)</f>
        <v>0</v>
      </c>
      <c r="E92" s="5"/>
    </row>
    <row r="93" spans="1:5" x14ac:dyDescent="0.25">
      <c r="A93" s="6" t="s">
        <v>103</v>
      </c>
      <c r="B93" s="76">
        <v>0.25</v>
      </c>
      <c r="C93" s="58"/>
      <c r="D93" s="60">
        <f>D94*B93</f>
        <v>0</v>
      </c>
    </row>
    <row r="94" spans="1:5" x14ac:dyDescent="0.25">
      <c r="A94" s="6" t="s">
        <v>102</v>
      </c>
      <c r="B94" s="10"/>
      <c r="C94" s="58"/>
      <c r="D94" s="62">
        <v>0</v>
      </c>
      <c r="E94" s="17"/>
    </row>
    <row r="95" spans="1:5" x14ac:dyDescent="0.25">
      <c r="A95" s="6" t="s">
        <v>44</v>
      </c>
      <c r="B95" s="59" t="s">
        <v>100</v>
      </c>
      <c r="C95" s="61">
        <v>0</v>
      </c>
      <c r="D95" s="60">
        <f>B28*C95</f>
        <v>0</v>
      </c>
      <c r="E95" s="39">
        <f>C95</f>
        <v>0</v>
      </c>
    </row>
    <row r="96" spans="1:5" x14ac:dyDescent="0.25">
      <c r="A96" s="6" t="s">
        <v>101</v>
      </c>
      <c r="B96" s="59"/>
      <c r="C96" s="58"/>
      <c r="D96" s="60">
        <f>D95*75%</f>
        <v>0</v>
      </c>
      <c r="E96" s="17"/>
    </row>
    <row r="99" spans="1:5" x14ac:dyDescent="0.25">
      <c r="A99" s="74" t="s">
        <v>115</v>
      </c>
      <c r="B99" s="74"/>
      <c r="C99" s="74"/>
      <c r="D99" s="74"/>
    </row>
    <row r="100" spans="1:5" x14ac:dyDescent="0.25">
      <c r="A100" s="6" t="s">
        <v>99</v>
      </c>
      <c r="B100" s="11"/>
      <c r="C100" s="12"/>
      <c r="D100" s="63">
        <f>SUM(D101:D104)</f>
        <v>0</v>
      </c>
      <c r="E100" s="5"/>
    </row>
    <row r="101" spans="1:5" x14ac:dyDescent="0.25">
      <c r="A101" s="6" t="s">
        <v>103</v>
      </c>
      <c r="B101" s="76">
        <v>0.25</v>
      </c>
      <c r="C101" s="58"/>
      <c r="D101" s="60">
        <f>D102*B101</f>
        <v>0</v>
      </c>
    </row>
    <row r="102" spans="1:5" x14ac:dyDescent="0.25">
      <c r="A102" s="6" t="s">
        <v>102</v>
      </c>
      <c r="B102" s="10"/>
      <c r="C102" s="58"/>
      <c r="D102" s="62">
        <v>0</v>
      </c>
      <c r="E102" s="17"/>
    </row>
    <row r="103" spans="1:5" x14ac:dyDescent="0.25">
      <c r="A103" s="6" t="s">
        <v>44</v>
      </c>
      <c r="B103" s="59" t="s">
        <v>100</v>
      </c>
      <c r="C103" s="61">
        <v>0</v>
      </c>
      <c r="D103" s="60">
        <f>B28*C103</f>
        <v>0</v>
      </c>
      <c r="E103" s="39">
        <f>C103</f>
        <v>0</v>
      </c>
    </row>
    <row r="104" spans="1:5" x14ac:dyDescent="0.25">
      <c r="A104" s="6" t="s">
        <v>101</v>
      </c>
      <c r="B104" s="59"/>
      <c r="C104" s="58"/>
      <c r="D104" s="60">
        <f>D103*75%</f>
        <v>0</v>
      </c>
      <c r="E104" s="17"/>
    </row>
  </sheetData>
  <mergeCells count="3">
    <mergeCell ref="A2:B3"/>
    <mergeCell ref="A4:B5"/>
    <mergeCell ref="A6:B6"/>
  </mergeCells>
  <pageMargins left="0.7" right="0.7" top="0.75" bottom="0.75" header="0.3" footer="0.3"/>
  <ignoredErrors>
    <ignoredError sqref="F50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EBBF4A-CEF6-48D1-94B9-AB1683F624EB}">
          <x14:formula1>
            <xm:f>Sheet2!$A$1:$A$2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CADA-BCF6-4047-8740-0852B4F2ED6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s="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Yant</dc:creator>
  <cp:lastModifiedBy>Tim Murphy</cp:lastModifiedBy>
  <dcterms:created xsi:type="dcterms:W3CDTF">2024-07-03T16:18:45Z</dcterms:created>
  <dcterms:modified xsi:type="dcterms:W3CDTF">2026-08-20T22:29:52Z</dcterms:modified>
</cp:coreProperties>
</file>