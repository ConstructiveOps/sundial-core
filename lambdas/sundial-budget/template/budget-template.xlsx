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<sst xmlns="http://schemas.openxmlformats.org/spreadsheetml/2006/main" count="176" uniqueCount="134">
  <si>
    <t xml:space="preserve">PROJECT NAME</t>
  </si>
  <si>
    <t xml:space="preserve">HOLLAND</t>
  </si>
  <si>
    <t xml:space="preserve">Cost Parameters</t>
  </si>
  <si>
    <t xml:space="preserve">System Size Kw</t>
  </si>
  <si>
    <t xml:space="preserve">System Size Watts</t>
  </si>
  <si>
    <t xml:space="preserve">Module Watts</t>
  </si>
  <si>
    <t xml:space="preserve">Commissions</t>
  </si>
  <si>
    <t xml:space="preserve">PPW</t>
  </si>
  <si>
    <t xml:space="preserve">SUMMARY TAB - CONTRACT TOTAL</t>
  </si>
  <si>
    <t xml:space="preserve">Contract Revenue</t>
  </si>
  <si>
    <t xml:space="preserve">Module</t>
  </si>
  <si>
    <t xml:space="preserve">HYUNDAI</t>
  </si>
  <si>
    <t xml:space="preserve">Module ppw</t>
  </si>
  <si>
    <t xml:space="preserve">SLPC  OUT - M1&amp;M2COM</t>
  </si>
  <si>
    <t xml:space="preserve">Sales Person(s)</t>
  </si>
  <si>
    <t xml:space="preserve">DLR - N/A</t>
  </si>
  <si>
    <t xml:space="preserve">Dealer Fee</t>
  </si>
  <si>
    <t xml:space="preserve">Module STC Watatge</t>
  </si>
  <si>
    <t xml:space="preserve"># Of Mods</t>
  </si>
  <si>
    <t xml:space="preserve">SLMC - SALESCOMM</t>
  </si>
  <si>
    <t xml:space="preserve">Ralph</t>
  </si>
  <si>
    <t xml:space="preserve">Module Cost / DC Watt</t>
  </si>
  <si>
    <t xml:space="preserve"># OF  </t>
  </si>
  <si>
    <t xml:space="preserve">Geo</t>
  </si>
  <si>
    <t xml:space="preserve">Balance of Revenue</t>
  </si>
  <si>
    <t xml:space="preserve">Combiner If Needed</t>
  </si>
  <si>
    <t xml:space="preserve">SLPC - SALESCOMM</t>
  </si>
  <si>
    <t xml:space="preserve">Daniel</t>
  </si>
  <si>
    <t xml:space="preserve">Total Material</t>
  </si>
  <si>
    <t xml:space="preserve">Tesla Gateway</t>
  </si>
  <si>
    <t xml:space="preserve">MATERIAL BUDGETS</t>
  </si>
  <si>
    <t xml:space="preserve">Totals</t>
  </si>
  <si>
    <t xml:space="preserve">Total Other</t>
  </si>
  <si>
    <t xml:space="preserve">Enphase Micro Inverters</t>
  </si>
  <si>
    <t xml:space="preserve">Modules</t>
  </si>
  <si>
    <t xml:space="preserve">BURDENEXR - SALESCOMM</t>
  </si>
  <si>
    <t xml:space="preserve">Burden</t>
  </si>
  <si>
    <t xml:space="preserve">Total Labor</t>
  </si>
  <si>
    <t xml:space="preserve">Powerwall III</t>
  </si>
  <si>
    <t xml:space="preserve">Combiner</t>
  </si>
  <si>
    <t xml:space="preserve">Constructiv OPS</t>
  </si>
  <si>
    <t xml:space="preserve">BOS Cost  - Solar</t>
  </si>
  <si>
    <t xml:space="preserve">ppw</t>
  </si>
  <si>
    <t xml:space="preserve">GP Dollars</t>
  </si>
  <si>
    <t xml:space="preserve">BOS Cost  - Electrical</t>
  </si>
  <si>
    <t xml:space="preserve">Enphase Inverter</t>
  </si>
  <si>
    <t xml:space="preserve">GP Percent with Commissions In</t>
  </si>
  <si>
    <t xml:space="preserve">Roof Material / Penetration</t>
  </si>
  <si>
    <t xml:space="preserve">Powerwall</t>
  </si>
  <si>
    <t xml:space="preserve">GP Percent No Commissions</t>
  </si>
  <si>
    <t xml:space="preserve">Penetrations / Module</t>
  </si>
  <si>
    <t xml:space="preserve">BOS Solar</t>
  </si>
  <si>
    <t xml:space="preserve">Blended Labor Rate</t>
  </si>
  <si>
    <t xml:space="preserve">BOS Electrical</t>
  </si>
  <si>
    <t xml:space="preserve">Roofing Material</t>
  </si>
  <si>
    <t xml:space="preserve">Hours/ Audit</t>
  </si>
  <si>
    <t xml:space="preserve">LABOR BUDGETS / HOURS</t>
  </si>
  <si>
    <t xml:space="preserve">Hours</t>
  </si>
  <si>
    <t xml:space="preserve">QA Hours / Commissioning</t>
  </si>
  <si>
    <t xml:space="preserve">GENA - RESIDENTIAL</t>
  </si>
  <si>
    <t xml:space="preserve">Audit </t>
  </si>
  <si>
    <t xml:space="preserve">Roofing Cost / Penetration</t>
  </si>
  <si>
    <t xml:space="preserve">BURDENEXR - RESIDENTIAL</t>
  </si>
  <si>
    <t xml:space="preserve">Audit Burden</t>
  </si>
  <si>
    <t xml:space="preserve">GENO - N/A - OTHER</t>
  </si>
  <si>
    <t xml:space="preserve">Constructive Operations</t>
  </si>
  <si>
    <t xml:space="preserve">Roofing Penetrations/Mod</t>
  </si>
  <si>
    <t xml:space="preserve">QA / Commissioning</t>
  </si>
  <si>
    <t xml:space="preserve">Pass Thru Costs (Permit)</t>
  </si>
  <si>
    <t xml:space="preserve">Hours/ Module</t>
  </si>
  <si>
    <t xml:space="preserve">QA / Commissioning Burden</t>
  </si>
  <si>
    <t xml:space="preserve">GENM - N/A - MATERIAL</t>
  </si>
  <si>
    <t xml:space="preserve">Material Other</t>
  </si>
  <si>
    <t xml:space="preserve">ROOFCOM - RESIDENTIAL</t>
  </si>
  <si>
    <t xml:space="preserve">Roofing Labor</t>
  </si>
  <si>
    <t xml:space="preserve">Piece Rate</t>
  </si>
  <si>
    <t xml:space="preserve">Other</t>
  </si>
  <si>
    <t xml:space="preserve">Constructiv Operations</t>
  </si>
  <si>
    <t xml:space="preserve">Roofing Burden</t>
  </si>
  <si>
    <t xml:space="preserve">CO Pass Thru Costs (Permit)</t>
  </si>
  <si>
    <t xml:space="preserve">Total Solar Labor</t>
  </si>
  <si>
    <t xml:space="preserve">Total All Labor Burden</t>
  </si>
  <si>
    <t xml:space="preserve">Powerwall Labor</t>
  </si>
  <si>
    <t xml:space="preserve">S1 - RESIDENTIAL</t>
  </si>
  <si>
    <t xml:space="preserve">S1 Labor</t>
  </si>
  <si>
    <t xml:space="preserve">Total Job Costs / No Commission</t>
  </si>
  <si>
    <t xml:space="preserve">Hours / Battery</t>
  </si>
  <si>
    <t xml:space="preserve">S1 Burden</t>
  </si>
  <si>
    <t xml:space="preserve">Total Job Costs With Commission</t>
  </si>
  <si>
    <t xml:space="preserve">S2 - RESIDENTIAL</t>
  </si>
  <si>
    <t xml:space="preserve">S2 Labor</t>
  </si>
  <si>
    <t xml:space="preserve">S2 Burden</t>
  </si>
  <si>
    <t xml:space="preserve">ppw w/ comm</t>
  </si>
  <si>
    <t xml:space="preserve">S3 - RESIDENTIAL</t>
  </si>
  <si>
    <t xml:space="preserve">S3 Labor (Powerwall)</t>
  </si>
  <si>
    <t xml:space="preserve">TOTAL JOB HOURS</t>
  </si>
  <si>
    <t xml:space="preserve">S3 Burden</t>
  </si>
  <si>
    <t xml:space="preserve">GENA</t>
  </si>
  <si>
    <t xml:space="preserve">S1</t>
  </si>
  <si>
    <t xml:space="preserve">ADDERS </t>
  </si>
  <si>
    <t xml:space="preserve">SELECT</t>
  </si>
  <si>
    <t xml:space="preserve">MATERIALS</t>
  </si>
  <si>
    <t xml:space="preserve">Labor $</t>
  </si>
  <si>
    <t xml:space="preserve">S2</t>
  </si>
  <si>
    <t xml:space="preserve">Sub Panel</t>
  </si>
  <si>
    <t xml:space="preserve">S3</t>
  </si>
  <si>
    <t xml:space="preserve">Flat Roof</t>
  </si>
  <si>
    <t xml:space="preserve">Bird Blocking</t>
  </si>
  <si>
    <t xml:space="preserve">Derate</t>
  </si>
  <si>
    <t xml:space="preserve">Total Adders / Non Std Adders</t>
  </si>
  <si>
    <t xml:space="preserve">Structural</t>
  </si>
  <si>
    <t xml:space="preserve">Material Budget No Mark Up</t>
  </si>
  <si>
    <t xml:space="preserve">Small System 10-12 panels</t>
  </si>
  <si>
    <t xml:space="preserve">Labor</t>
  </si>
  <si>
    <t xml:space="preserve">Small System 13 - 15 panels</t>
  </si>
  <si>
    <t xml:space="preserve">Labor Burden</t>
  </si>
  <si>
    <t xml:space="preserve">Heat Detector</t>
  </si>
  <si>
    <t xml:space="preserve">Total Labor Costs</t>
  </si>
  <si>
    <t xml:space="preserve">Conduit in Attic</t>
  </si>
  <si>
    <t xml:space="preserve">Roof Tile (Two years or newer)</t>
  </si>
  <si>
    <t xml:space="preserve">Software Fee</t>
  </si>
  <si>
    <t xml:space="preserve">225 Upgrade</t>
  </si>
  <si>
    <t xml:space="preserve">400 Upgrade</t>
  </si>
  <si>
    <t xml:space="preserve">TOTAL MATERIALS</t>
  </si>
  <si>
    <t xml:space="preserve">TOTAL LABOR</t>
  </si>
  <si>
    <t xml:space="preserve">TOTAL ADDER COST</t>
  </si>
  <si>
    <t xml:space="preserve">NON STANDARD ADDERS</t>
  </si>
  <si>
    <t xml:space="preserve">PW NOW MAIN GARAGE - TRM - BACK TO SES LOCATION</t>
  </si>
  <si>
    <t xml:space="preserve">TOTAL NON STANDARD ADDER WITH MARK UP</t>
  </si>
  <si>
    <t xml:space="preserve">MARK UP</t>
  </si>
  <si>
    <t xml:space="preserve">HOURS</t>
  </si>
  <si>
    <t xml:space="preserve">TOTAL LABOR BURDEN</t>
  </si>
  <si>
    <t xml:space="preserve">INITIAL WIRE PULL ADDER - HAVE REMOVED THE H RACK SINCE MOUNTING TO WALL STRUCTURE</t>
  </si>
  <si>
    <t xml:space="preserve">WIRE PULL ADDER - TO DETACHED GARAGE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</si>
</sst>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General"/>
    <numFmt numFmtId="167" formatCode="0.0000"/>
    <numFmt numFmtId="168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2"/>
      <name val="Calibri"/>
      <family val="0"/>
      <charset val="1"/>
    </font>
    <font>
      <sz val="11"/>
      <color rgb="FF0000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7" min="6" style="0" width="10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0" min="10" style="0" width="26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3" min="13" style="0" width="28"/>
    <col collapsed="false" customWidth="true" hidden="false" outlineLevel="0" max="14" min="14" style="0" width="12"/>
  </cols>
  <sheetData>
    <row r="2" customFormat="false" ht="15" hidden="false" customHeight="false" outlineLevel="0" collapsed="false">
      <c r="A2" s="1" t="s">
        <v>0</v>
      </c>
    </row>
    <row r="4" customFormat="false" ht="15" hidden="false" customHeight="false" outlineLevel="0" collapsed="false">
      <c r="A4" s="2" t="s">
        <v>1</v>
      </c>
    </row>
    <row r="6" customFormat="false" ht="15" hidden="false" customHeight="false" outlineLevel="0" collapsed="false">
      <c r="A6" s="1" t="s">
        <v>2</v>
      </c>
      <c r="D6" s="1" t="s">
        <v>3</v>
      </c>
      <c r="F6" s="1" t="s">
        <v>4</v>
      </c>
      <c r="G6" s="1" t="s">
        <v>5</v>
      </c>
      <c r="I6" s="1" t="s">
        <v>6</v>
      </c>
      <c r="J6" s="1" t="s">
        <v>7</v>
      </c>
      <c r="L6" s="1" t="s">
        <v>8</v>
      </c>
      <c r="M6" s="1" t="s">
        <v>9</v>
      </c>
      <c r="N6" s="3" t="n">
        <v>108000</v>
      </c>
    </row>
    <row r="7" customFormat="false" ht="15" hidden="false" customHeight="false" outlineLevel="0" collapsed="false">
      <c r="A7" s="0" t="s">
        <v>10</v>
      </c>
      <c r="B7" s="0" t="s">
        <v>11</v>
      </c>
      <c r="C7" s="0" t="s">
        <v>12</v>
      </c>
      <c r="D7" s="4" t="n">
        <v>19.8</v>
      </c>
      <c r="F7" s="5" t="n">
        <f aca="false">D7*1000</f>
        <v>19800</v>
      </c>
      <c r="G7" s="5" t="n">
        <f aca="false">B8</f>
        <v>440</v>
      </c>
      <c r="H7" s="5" t="s">
        <v>13</v>
      </c>
      <c r="I7" s="5" t="s">
        <v>14</v>
      </c>
      <c r="J7" s="4" t="n">
        <v>0.1</v>
      </c>
      <c r="K7" s="6" t="n">
        <f aca="false">J7*F7</f>
        <v>1980</v>
      </c>
      <c r="L7" s="5" t="s">
        <v>15</v>
      </c>
      <c r="M7" s="5" t="s">
        <v>16</v>
      </c>
      <c r="N7" s="3" t="n">
        <v>0</v>
      </c>
    </row>
    <row r="8" customFormat="false" ht="15" hidden="false" customHeight="false" outlineLevel="0" collapsed="false">
      <c r="A8" s="0" t="s">
        <v>17</v>
      </c>
      <c r="B8" s="4" t="n">
        <v>440</v>
      </c>
      <c r="C8" s="4" t="n">
        <v>0.4</v>
      </c>
      <c r="F8" s="5" t="s">
        <v>18</v>
      </c>
      <c r="H8" s="5" t="s">
        <v>19</v>
      </c>
      <c r="I8" s="5" t="s">
        <v>20</v>
      </c>
      <c r="J8" s="4" t="n">
        <v>0.04</v>
      </c>
      <c r="K8" s="6" t="n">
        <f aca="false">J8*F7</f>
        <v>792</v>
      </c>
      <c r="M8" s="5" t="s">
        <v>6</v>
      </c>
      <c r="N8" s="6" t="n">
        <f aca="false">SUM(J11:J12)</f>
        <v>4008.25</v>
      </c>
    </row>
    <row r="9" customFormat="false" ht="15" hidden="false" customHeight="false" outlineLevel="0" collapsed="false">
      <c r="A9" s="0" t="s">
        <v>21</v>
      </c>
      <c r="B9" s="4" t="n">
        <v>0.4</v>
      </c>
      <c r="C9" s="5" t="s">
        <v>22</v>
      </c>
      <c r="F9" s="5" t="n">
        <f aca="false">F7/G7</f>
        <v>45</v>
      </c>
      <c r="I9" s="5" t="s">
        <v>23</v>
      </c>
      <c r="J9" s="4" t="n">
        <v>70</v>
      </c>
      <c r="K9" s="6" t="n">
        <f aca="false">J9</f>
        <v>70</v>
      </c>
      <c r="M9" s="5" t="s">
        <v>24</v>
      </c>
      <c r="N9" s="6" t="n">
        <f aca="false">N6-N7-N8</f>
        <v>103991.75</v>
      </c>
    </row>
    <row r="10" customFormat="false" ht="15" hidden="false" customHeight="false" outlineLevel="0" collapsed="false">
      <c r="A10" s="0" t="s">
        <v>25</v>
      </c>
      <c r="B10" s="3" t="n">
        <v>604.81</v>
      </c>
      <c r="C10" s="4" t="n">
        <v>1</v>
      </c>
      <c r="H10" s="5" t="s">
        <v>26</v>
      </c>
      <c r="I10" s="5" t="s">
        <v>27</v>
      </c>
      <c r="J10" s="4" t="n">
        <v>0.015</v>
      </c>
      <c r="K10" s="6" t="n">
        <f aca="false">J10*F7</f>
        <v>297</v>
      </c>
      <c r="M10" s="5" t="s">
        <v>28</v>
      </c>
      <c r="N10" s="6" t="n">
        <f aca="false">K24</f>
        <v>60675.44</v>
      </c>
    </row>
    <row r="11" customFormat="false" ht="15" hidden="false" customHeight="false" outlineLevel="0" collapsed="false">
      <c r="A11" s="0" t="s">
        <v>29</v>
      </c>
      <c r="B11" s="3" t="n">
        <v>878.64</v>
      </c>
      <c r="C11" s="4" t="n">
        <v>1</v>
      </c>
      <c r="E11" s="1" t="s">
        <v>30</v>
      </c>
      <c r="I11" s="5" t="s">
        <v>31</v>
      </c>
      <c r="J11" s="6" t="n">
        <f aca="false">SUM(K7:K10)</f>
        <v>3139</v>
      </c>
      <c r="M11" s="5" t="s">
        <v>32</v>
      </c>
      <c r="N11" s="6" t="n">
        <f aca="false">K25</f>
        <v>2989.15</v>
      </c>
    </row>
    <row r="12" customFormat="false" ht="15" hidden="false" customHeight="false" outlineLevel="0" collapsed="false">
      <c r="A12" s="0" t="s">
        <v>33</v>
      </c>
      <c r="B12" s="3" t="n">
        <v>109.93</v>
      </c>
      <c r="C12" s="4" t="n">
        <v>45</v>
      </c>
      <c r="E12" s="5" t="s">
        <v>34</v>
      </c>
      <c r="G12" s="6" t="n">
        <f aca="false">F7*B9</f>
        <v>7920</v>
      </c>
      <c r="H12" s="5" t="s">
        <v>35</v>
      </c>
      <c r="I12" s="5" t="s">
        <v>36</v>
      </c>
      <c r="J12" s="6" t="n">
        <f aca="false" t="array" ref="J12:J12">SUM(K8:K10*K12)</f>
        <v>869.25</v>
      </c>
      <c r="K12" s="4" t="n">
        <v>0.75</v>
      </c>
      <c r="M12" s="5" t="s">
        <v>37</v>
      </c>
      <c r="N12" s="6" t="n">
        <f aca="false">SUM(K26:K27)</f>
        <v>16708.5625</v>
      </c>
    </row>
    <row r="13" customFormat="false" ht="15" hidden="false" customHeight="false" outlineLevel="0" collapsed="false">
      <c r="A13" s="0" t="s">
        <v>38</v>
      </c>
      <c r="B13" s="3" t="n">
        <v>7383.33</v>
      </c>
      <c r="C13" s="4" t="n">
        <v>4</v>
      </c>
      <c r="E13" s="5" t="s">
        <v>39</v>
      </c>
      <c r="G13" s="6" t="n">
        <f aca="false">B10*C10</f>
        <v>604.81</v>
      </c>
      <c r="I13" s="5" t="s">
        <v>31</v>
      </c>
      <c r="J13" s="6" t="n">
        <f aca="false">SUM(J11:J12)</f>
        <v>4008.25</v>
      </c>
      <c r="M13" s="5" t="s">
        <v>40</v>
      </c>
      <c r="N13" s="6" t="n">
        <f aca="false">SUM(K22:K23)</f>
        <v>1650</v>
      </c>
    </row>
    <row r="14" customFormat="false" ht="15" hidden="false" customHeight="false" outlineLevel="0" collapsed="false">
      <c r="A14" s="0" t="s">
        <v>41</v>
      </c>
      <c r="B14" s="4" t="n">
        <v>0.17</v>
      </c>
      <c r="E14" s="5" t="s">
        <v>29</v>
      </c>
      <c r="G14" s="6" t="n">
        <f aca="false">B11*C11</f>
        <v>878.64</v>
      </c>
      <c r="I14" s="5" t="s">
        <v>42</v>
      </c>
      <c r="J14" s="7" t="n">
        <f aca="false">J13/F7</f>
        <v>0.202436868686869</v>
      </c>
      <c r="M14" s="5" t="s">
        <v>43</v>
      </c>
      <c r="N14" s="6" t="n">
        <f aca="false">N9-N10-N11-N12-N13</f>
        <v>21968.5975</v>
      </c>
    </row>
    <row r="15" customFormat="false" ht="15" hidden="false" customHeight="false" outlineLevel="0" collapsed="false">
      <c r="A15" s="0" t="s">
        <v>44</v>
      </c>
      <c r="B15" s="4" t="n">
        <v>0.1</v>
      </c>
      <c r="E15" s="5" t="s">
        <v>45</v>
      </c>
      <c r="G15" s="6" t="n">
        <f aca="false">B12*C12</f>
        <v>4946.85</v>
      </c>
      <c r="M15" s="5" t="s">
        <v>46</v>
      </c>
      <c r="N15" s="8" t="n">
        <f aca="false">N14/N6</f>
        <v>0.203412939814815</v>
      </c>
    </row>
    <row r="16" customFormat="false" ht="15" hidden="false" customHeight="false" outlineLevel="0" collapsed="false">
      <c r="A16" s="0" t="s">
        <v>47</v>
      </c>
      <c r="B16" s="4" t="n">
        <v>24</v>
      </c>
      <c r="E16" s="5" t="s">
        <v>48</v>
      </c>
      <c r="G16" s="6" t="n">
        <f aca="false">B13*C13</f>
        <v>29533.32</v>
      </c>
      <c r="M16" s="5" t="s">
        <v>49</v>
      </c>
      <c r="N16" s="8" t="n">
        <f aca="false">N14/N9</f>
        <v>0.211253272495174</v>
      </c>
    </row>
    <row r="17" customFormat="false" ht="15" hidden="false" customHeight="false" outlineLevel="0" collapsed="false">
      <c r="A17" s="0" t="s">
        <v>50</v>
      </c>
      <c r="B17" s="4" t="n">
        <v>1.75</v>
      </c>
      <c r="E17" s="5" t="s">
        <v>51</v>
      </c>
      <c r="F17" s="5" t="n">
        <f aca="false">B14</f>
        <v>0.17</v>
      </c>
      <c r="G17" s="6" t="n">
        <f aca="false">F17*F7</f>
        <v>3366</v>
      </c>
    </row>
    <row r="18" customFormat="false" ht="15" hidden="false" customHeight="false" outlineLevel="0" collapsed="false">
      <c r="A18" s="0" t="s">
        <v>52</v>
      </c>
      <c r="B18" s="4" t="n">
        <v>28.25</v>
      </c>
      <c r="E18" s="5" t="s">
        <v>53</v>
      </c>
      <c r="F18" s="5" t="n">
        <f aca="false">B15</f>
        <v>0.1</v>
      </c>
      <c r="G18" s="6" t="n">
        <f aca="false">F18*F7</f>
        <v>1980</v>
      </c>
    </row>
    <row r="19" customFormat="false" ht="15" hidden="false" customHeight="false" outlineLevel="0" collapsed="false">
      <c r="A19" s="0" t="s">
        <v>36</v>
      </c>
      <c r="B19" s="4" t="n">
        <v>0.75</v>
      </c>
      <c r="E19" s="5" t="s">
        <v>54</v>
      </c>
      <c r="F19" s="5" t="n">
        <f aca="false">B16</f>
        <v>24</v>
      </c>
      <c r="G19" s="6" t="n">
        <f aca="false">B17*F19*F9</f>
        <v>1890</v>
      </c>
    </row>
    <row r="20" customFormat="false" ht="15" hidden="false" customHeight="false" outlineLevel="0" collapsed="false">
      <c r="A20" s="0" t="s">
        <v>55</v>
      </c>
      <c r="B20" s="4" t="n">
        <v>2</v>
      </c>
      <c r="E20" s="1" t="s">
        <v>56</v>
      </c>
      <c r="H20" s="1" t="s">
        <v>57</v>
      </c>
    </row>
    <row r="21" customFormat="false" ht="15" hidden="false" customHeight="false" outlineLevel="0" collapsed="false">
      <c r="A21" s="0" t="s">
        <v>58</v>
      </c>
      <c r="B21" s="4" t="n">
        <v>6</v>
      </c>
      <c r="D21" s="5" t="s">
        <v>59</v>
      </c>
      <c r="E21" s="5" t="s">
        <v>60</v>
      </c>
      <c r="F21" s="5" t="n">
        <f aca="false">B18</f>
        <v>28.25</v>
      </c>
      <c r="G21" s="6" t="n">
        <f aca="false">B18*B20</f>
        <v>56.5</v>
      </c>
      <c r="H21" s="5" t="n">
        <f aca="false">B20</f>
        <v>2</v>
      </c>
    </row>
    <row r="22" customFormat="false" ht="15" hidden="false" customHeight="false" outlineLevel="0" collapsed="false">
      <c r="A22" s="0" t="s">
        <v>61</v>
      </c>
      <c r="B22" s="4" t="n">
        <v>21</v>
      </c>
      <c r="D22" s="5" t="s">
        <v>62</v>
      </c>
      <c r="E22" s="5" t="s">
        <v>63</v>
      </c>
      <c r="F22" s="5" t="n">
        <f aca="false">B19</f>
        <v>0.75</v>
      </c>
      <c r="G22" s="6" t="n">
        <f aca="false">G21*F22</f>
        <v>42.375</v>
      </c>
      <c r="I22" s="5" t="s">
        <v>64</v>
      </c>
      <c r="J22" s="5" t="s">
        <v>65</v>
      </c>
      <c r="K22" s="6" t="n">
        <f aca="false">B26</f>
        <v>850</v>
      </c>
    </row>
    <row r="23" customFormat="false" ht="15" hidden="false" customHeight="false" outlineLevel="0" collapsed="false">
      <c r="A23" s="0" t="s">
        <v>66</v>
      </c>
      <c r="B23" s="4" t="n">
        <v>1.75</v>
      </c>
      <c r="D23" s="5" t="s">
        <v>59</v>
      </c>
      <c r="E23" s="5" t="s">
        <v>67</v>
      </c>
      <c r="F23" s="5" t="n">
        <f aca="false">B18</f>
        <v>28.25</v>
      </c>
      <c r="G23" s="6" t="n">
        <f aca="false">B21*B18</f>
        <v>169.5</v>
      </c>
      <c r="H23" s="5" t="n">
        <f aca="false">B21</f>
        <v>6</v>
      </c>
      <c r="I23" s="5" t="s">
        <v>64</v>
      </c>
      <c r="J23" s="5" t="s">
        <v>68</v>
      </c>
      <c r="K23" s="6" t="n">
        <f aca="false">B27</f>
        <v>800</v>
      </c>
    </row>
    <row r="24" customFormat="false" ht="15" hidden="false" customHeight="false" outlineLevel="0" collapsed="false">
      <c r="A24" s="0" t="s">
        <v>69</v>
      </c>
      <c r="B24" s="4" t="n">
        <v>2</v>
      </c>
      <c r="D24" s="5" t="s">
        <v>62</v>
      </c>
      <c r="E24" s="5" t="s">
        <v>70</v>
      </c>
      <c r="F24" s="5" t="n">
        <f aca="false">B19</f>
        <v>0.75</v>
      </c>
      <c r="G24" s="6" t="n">
        <f aca="false">G23*F24</f>
        <v>127.125</v>
      </c>
      <c r="I24" s="5" t="s">
        <v>71</v>
      </c>
      <c r="J24" s="1" t="s">
        <v>28</v>
      </c>
      <c r="K24" s="6" t="n">
        <f aca="false">SUM(G12:G19,J40)</f>
        <v>60675.44</v>
      </c>
    </row>
    <row r="25" customFormat="false" ht="15" hidden="false" customHeight="false" outlineLevel="0" collapsed="false">
      <c r="A25" s="0" t="s">
        <v>72</v>
      </c>
      <c r="B25" s="3" t="n">
        <v>890.15</v>
      </c>
      <c r="D25" s="5" t="s">
        <v>73</v>
      </c>
      <c r="E25" s="5" t="s">
        <v>74</v>
      </c>
      <c r="F25" s="5" t="n">
        <f aca="false">B22</f>
        <v>21</v>
      </c>
      <c r="G25" s="6" t="n">
        <f aca="false">B22*B23*F9</f>
        <v>1653.75</v>
      </c>
      <c r="H25" s="1" t="s">
        <v>75</v>
      </c>
      <c r="I25" s="5" t="s">
        <v>64</v>
      </c>
      <c r="J25" s="5" t="s">
        <v>76</v>
      </c>
      <c r="K25" s="6" t="n">
        <f aca="false">B25+D49</f>
        <v>2989.15</v>
      </c>
    </row>
    <row r="26" customFormat="false" ht="15" hidden="false" customHeight="false" outlineLevel="0" collapsed="false">
      <c r="A26" s="0" t="s">
        <v>77</v>
      </c>
      <c r="B26" s="3" t="n">
        <v>850</v>
      </c>
      <c r="D26" s="5" t="s">
        <v>62</v>
      </c>
      <c r="E26" s="5" t="s">
        <v>78</v>
      </c>
      <c r="F26" s="5" t="n">
        <f aca="false">B19</f>
        <v>0.75</v>
      </c>
      <c r="G26" s="6" t="n">
        <f aca="false">G25*F26</f>
        <v>1240.3125</v>
      </c>
      <c r="J26" s="1" t="s">
        <v>37</v>
      </c>
      <c r="K26" s="6" t="n">
        <f aca="false">SUM(G21,G23,G25,G28,G30,G32,J41)</f>
        <v>9547.75</v>
      </c>
    </row>
    <row r="27" customFormat="false" ht="15" hidden="false" customHeight="false" outlineLevel="0" collapsed="false">
      <c r="A27" s="0" t="s">
        <v>79</v>
      </c>
      <c r="B27" s="3" t="n">
        <v>800</v>
      </c>
      <c r="E27" s="5" t="s">
        <v>80</v>
      </c>
      <c r="F27" s="5" t="n">
        <f aca="false">B18</f>
        <v>28.25</v>
      </c>
      <c r="G27" s="6" t="n">
        <f aca="false">B18*B24*F9</f>
        <v>2542.5</v>
      </c>
      <c r="H27" s="5" t="n">
        <f aca="false">B24*F9</f>
        <v>90</v>
      </c>
      <c r="I27" s="5" t="s">
        <v>62</v>
      </c>
      <c r="J27" s="1" t="s">
        <v>81</v>
      </c>
      <c r="K27" s="6" t="n">
        <f aca="false">SUM(G22,G24,G26,G29,G31,G33,J42)</f>
        <v>7160.8125</v>
      </c>
    </row>
    <row r="28" customFormat="false" ht="15" hidden="false" customHeight="false" outlineLevel="0" collapsed="false">
      <c r="A28" s="0" t="s">
        <v>82</v>
      </c>
      <c r="B28" s="4" t="n">
        <v>33</v>
      </c>
      <c r="D28" s="5" t="s">
        <v>83</v>
      </c>
      <c r="E28" s="5" t="s">
        <v>84</v>
      </c>
      <c r="F28" s="6" t="n">
        <f aca="false">G27-F30</f>
        <v>1695</v>
      </c>
      <c r="G28" s="6" t="n">
        <f aca="false">F28</f>
        <v>1695</v>
      </c>
      <c r="H28" s="5" t="n">
        <f aca="false">G28/F27</f>
        <v>60</v>
      </c>
      <c r="J28" s="1" t="s">
        <v>85</v>
      </c>
      <c r="K28" s="6" t="n">
        <f aca="false">SUM(K22:K27)</f>
        <v>82023.1525</v>
      </c>
    </row>
    <row r="29" customFormat="false" ht="15" hidden="false" customHeight="false" outlineLevel="0" collapsed="false">
      <c r="A29" s="0" t="s">
        <v>86</v>
      </c>
      <c r="B29" s="4" t="n">
        <v>64</v>
      </c>
      <c r="D29" s="5" t="s">
        <v>62</v>
      </c>
      <c r="E29" s="5" t="s">
        <v>87</v>
      </c>
      <c r="F29" s="5" t="n">
        <f aca="false">B19</f>
        <v>0.75</v>
      </c>
      <c r="G29" s="6" t="n">
        <f aca="false">G28*F29</f>
        <v>1271.25</v>
      </c>
      <c r="J29" s="1" t="s">
        <v>88</v>
      </c>
      <c r="K29" s="6" t="n">
        <f aca="false">SUM(K28+J13)</f>
        <v>86031.4025</v>
      </c>
    </row>
    <row r="30" customFormat="false" ht="15" hidden="false" customHeight="false" outlineLevel="0" collapsed="false">
      <c r="D30" s="0" t="s">
        <v>89</v>
      </c>
      <c r="E30" s="0" t="s">
        <v>90</v>
      </c>
      <c r="F30" s="6" t="n">
        <f aca="false">G27/3</f>
        <v>847.5</v>
      </c>
      <c r="G30" s="6" t="n">
        <f aca="false">F30</f>
        <v>847.5</v>
      </c>
      <c r="H30" s="5" t="n">
        <f aca="false">G30/F27</f>
        <v>30</v>
      </c>
      <c r="J30" s="5" t="s">
        <v>42</v>
      </c>
      <c r="K30" s="7" t="n">
        <f aca="false">K28/F7</f>
        <v>4.14258345959596</v>
      </c>
    </row>
    <row r="31" customFormat="false" ht="15" hidden="false" customHeight="false" outlineLevel="0" collapsed="false">
      <c r="D31" s="0" t="s">
        <v>62</v>
      </c>
      <c r="E31" s="0" t="s">
        <v>91</v>
      </c>
      <c r="F31" s="0" t="n">
        <f aca="false">B19</f>
        <v>0.75</v>
      </c>
      <c r="G31" s="6" t="n">
        <f aca="false">G30*F31</f>
        <v>635.625</v>
      </c>
      <c r="J31" s="5" t="s">
        <v>92</v>
      </c>
      <c r="K31" s="7" t="n">
        <f aca="false">K30+J14</f>
        <v>4.34502032828283</v>
      </c>
    </row>
    <row r="32" customFormat="false" ht="15" hidden="false" customHeight="false" outlineLevel="0" collapsed="false">
      <c r="D32" s="0" t="s">
        <v>93</v>
      </c>
      <c r="E32" s="0" t="s">
        <v>94</v>
      </c>
      <c r="F32" s="0" t="n">
        <f aca="false">B28</f>
        <v>33</v>
      </c>
      <c r="G32" s="6" t="n">
        <f aca="false">H32*F32</f>
        <v>2112</v>
      </c>
      <c r="H32" s="5" t="n">
        <f aca="false">B29</f>
        <v>64</v>
      </c>
      <c r="J32" s="1" t="s">
        <v>95</v>
      </c>
      <c r="K32" s="5" t="n">
        <f aca="false">SUM(H21,H23,H28,H30,H32,K42)</f>
        <v>268</v>
      </c>
    </row>
    <row r="33" customFormat="false" ht="15" hidden="false" customHeight="false" outlineLevel="0" collapsed="false">
      <c r="D33" s="0" t="s">
        <v>62</v>
      </c>
      <c r="E33" s="0" t="s">
        <v>96</v>
      </c>
      <c r="F33" s="0" t="n">
        <f aca="false">B19</f>
        <v>0.75</v>
      </c>
      <c r="G33" s="6" t="n">
        <f aca="false">G32*F33</f>
        <v>1584</v>
      </c>
      <c r="J33" s="5" t="s">
        <v>97</v>
      </c>
      <c r="K33" s="5" t="n">
        <f aca="false">SUM(H21,H23)</f>
        <v>8</v>
      </c>
    </row>
    <row r="34" customFormat="false" ht="15" hidden="false" customHeight="false" outlineLevel="0" collapsed="false">
      <c r="J34" s="0" t="s">
        <v>98</v>
      </c>
      <c r="K34" s="0" t="n">
        <f aca="false">SUM(H28)</f>
        <v>60</v>
      </c>
    </row>
    <row r="35" customFormat="false" ht="15" hidden="false" customHeight="false" outlineLevel="0" collapsed="false">
      <c r="A35" s="1" t="s">
        <v>99</v>
      </c>
      <c r="C35" s="1" t="s">
        <v>100</v>
      </c>
      <c r="D35" s="1" t="s">
        <v>101</v>
      </c>
      <c r="E35" s="1" t="s">
        <v>57</v>
      </c>
      <c r="F35" s="1" t="s">
        <v>102</v>
      </c>
      <c r="G35" s="1" t="s">
        <v>36</v>
      </c>
      <c r="J35" s="5" t="s">
        <v>103</v>
      </c>
      <c r="K35" s="5" t="n">
        <f aca="false">SUM(H30)</f>
        <v>30</v>
      </c>
    </row>
    <row r="36" customFormat="false" ht="15" hidden="false" customHeight="false" outlineLevel="0" collapsed="false">
      <c r="A36" s="0" t="s">
        <v>104</v>
      </c>
      <c r="B36" s="3" t="n">
        <v>500</v>
      </c>
      <c r="C36" s="4" t="n">
        <v>0</v>
      </c>
      <c r="D36" s="6" t="n">
        <f aca="false">B36*C36</f>
        <v>0</v>
      </c>
      <c r="E36" s="5" t="n">
        <f aca="false">C36*3</f>
        <v>0</v>
      </c>
      <c r="F36" s="6" t="n">
        <f aca="false">E36*B28</f>
        <v>0</v>
      </c>
      <c r="G36" s="6" t="n">
        <f aca="false">F36*75%</f>
        <v>0</v>
      </c>
      <c r="J36" s="5" t="s">
        <v>105</v>
      </c>
      <c r="K36" s="5" t="n">
        <f aca="false">SUM(H32,K42)</f>
        <v>170</v>
      </c>
    </row>
    <row r="37" customFormat="false" ht="15" hidden="false" customHeight="false" outlineLevel="0" collapsed="false">
      <c r="A37" s="0" t="s">
        <v>106</v>
      </c>
      <c r="B37" s="4" t="n">
        <v>0.1</v>
      </c>
      <c r="C37" s="4" t="n">
        <v>1</v>
      </c>
      <c r="D37" s="6" t="n">
        <f aca="false">B37*F7*C37</f>
        <v>1980</v>
      </c>
    </row>
    <row r="38" customFormat="false" ht="15" hidden="false" customHeight="false" outlineLevel="0" collapsed="false">
      <c r="A38" s="0" t="s">
        <v>107</v>
      </c>
      <c r="B38" s="4" t="n">
        <v>0.1</v>
      </c>
      <c r="C38" s="4" t="n">
        <v>0</v>
      </c>
      <c r="D38" s="6" t="n">
        <f aca="false">B38*F7*C38</f>
        <v>0</v>
      </c>
    </row>
    <row r="39" customFormat="false" ht="15" hidden="false" customHeight="false" outlineLevel="0" collapsed="false">
      <c r="A39" s="0" t="s">
        <v>108</v>
      </c>
      <c r="B39" s="3" t="n">
        <v>600</v>
      </c>
      <c r="C39" s="4" t="n">
        <v>0</v>
      </c>
      <c r="D39" s="6" t="n">
        <f aca="false">B39*C39</f>
        <v>0</v>
      </c>
      <c r="E39" s="5" t="n">
        <f aca="false">C39*3</f>
        <v>0</v>
      </c>
      <c r="F39" s="6" t="n">
        <f aca="false">E39*B28</f>
        <v>0</v>
      </c>
      <c r="G39" s="6" t="n">
        <f aca="false">F39*75%</f>
        <v>0</v>
      </c>
      <c r="H39" s="1" t="s">
        <v>109</v>
      </c>
      <c r="J39" s="6" t="n">
        <f aca="false">SUM(D51,D56,D64,D72)</f>
        <v>17290.943085</v>
      </c>
    </row>
    <row r="40" customFormat="false" ht="15" hidden="false" customHeight="false" outlineLevel="0" collapsed="false">
      <c r="A40" s="0" t="s">
        <v>110</v>
      </c>
      <c r="B40" s="3" t="n">
        <v>500</v>
      </c>
      <c r="C40" s="4" t="n">
        <v>0</v>
      </c>
      <c r="D40" s="6" t="n">
        <f aca="false">B40*C40</f>
        <v>0</v>
      </c>
      <c r="H40" s="1" t="s">
        <v>111</v>
      </c>
      <c r="I40" s="5" t="s">
        <v>71</v>
      </c>
      <c r="J40" s="6" t="n">
        <f aca="false">SUM(D58,D66,D74)</f>
        <v>9555.82</v>
      </c>
    </row>
    <row r="41" customFormat="false" ht="15" hidden="false" customHeight="false" outlineLevel="0" collapsed="false">
      <c r="A41" s="0" t="s">
        <v>112</v>
      </c>
      <c r="B41" s="3" t="n">
        <v>1250</v>
      </c>
      <c r="C41" s="4" t="n">
        <v>0</v>
      </c>
      <c r="D41" s="6" t="n">
        <f aca="false">B41*C41</f>
        <v>0</v>
      </c>
      <c r="H41" s="1" t="s">
        <v>113</v>
      </c>
      <c r="I41" s="5" t="s">
        <v>93</v>
      </c>
      <c r="J41" s="6" t="n">
        <f aca="false">SUM(F36,F39,F43,F47,F48,D59,D67,D75)</f>
        <v>3013.5</v>
      </c>
      <c r="K41" s="5" t="s">
        <v>57</v>
      </c>
    </row>
    <row r="42" customFormat="false" ht="15" hidden="false" customHeight="false" outlineLevel="0" collapsed="false">
      <c r="A42" s="0" t="s">
        <v>114</v>
      </c>
      <c r="B42" s="3" t="n">
        <v>1000</v>
      </c>
      <c r="C42" s="4" t="n">
        <v>0</v>
      </c>
      <c r="D42" s="6" t="n">
        <f aca="false">B42*C42</f>
        <v>0</v>
      </c>
      <c r="H42" s="1" t="s">
        <v>115</v>
      </c>
      <c r="I42" s="5" t="s">
        <v>62</v>
      </c>
      <c r="J42" s="6" t="n">
        <f aca="false">SUM(G36,G39,G43,G47,G48,D60,D68,D76)</f>
        <v>2260.125</v>
      </c>
      <c r="K42" s="5" t="n">
        <f aca="false">SUM(E36,E39,E43,E47,E48,E59,E67,E75)</f>
        <v>106</v>
      </c>
    </row>
    <row r="43" customFormat="false" ht="15" hidden="false" customHeight="false" outlineLevel="0" collapsed="false">
      <c r="A43" s="0" t="s">
        <v>116</v>
      </c>
      <c r="B43" s="3" t="n">
        <v>350</v>
      </c>
      <c r="C43" s="4" t="n">
        <v>1</v>
      </c>
      <c r="D43" s="6" t="n">
        <f aca="false">B43-G43-F43</f>
        <v>119</v>
      </c>
      <c r="E43" s="5" t="n">
        <f aca="false">C43*4</f>
        <v>4</v>
      </c>
      <c r="F43" s="6" t="n">
        <f aca="false">E43*B28</f>
        <v>132</v>
      </c>
      <c r="G43" s="6" t="n">
        <f aca="false">F43*75%</f>
        <v>99</v>
      </c>
      <c r="H43" s="1" t="s">
        <v>117</v>
      </c>
      <c r="J43" s="6" t="n">
        <f aca="false">SUM(J41:J42)</f>
        <v>5273.625</v>
      </c>
    </row>
    <row r="44" customFormat="false" ht="15" hidden="false" customHeight="false" outlineLevel="0" collapsed="false">
      <c r="A44" s="0" t="s">
        <v>118</v>
      </c>
      <c r="B44" s="4" t="n">
        <v>0.1</v>
      </c>
      <c r="C44" s="4" t="n">
        <v>0</v>
      </c>
      <c r="D44" s="6" t="n">
        <f aca="false">B44*F7*C44</f>
        <v>0</v>
      </c>
    </row>
    <row r="45" customFormat="false" ht="15" hidden="false" customHeight="false" outlineLevel="0" collapsed="false">
      <c r="A45" s="0" t="s">
        <v>119</v>
      </c>
      <c r="B45" s="4" t="n">
        <v>0.05</v>
      </c>
      <c r="C45" s="4" t="n">
        <v>0</v>
      </c>
      <c r="D45" s="6" t="n">
        <f aca="false">B45*F7*C45</f>
        <v>0</v>
      </c>
    </row>
    <row r="46" customFormat="false" ht="15" hidden="false" customHeight="false" outlineLevel="0" collapsed="false">
      <c r="A46" s="0" t="s">
        <v>120</v>
      </c>
      <c r="B46" s="3" t="n">
        <v>30</v>
      </c>
      <c r="C46" s="4" t="n">
        <v>0</v>
      </c>
      <c r="D46" s="6" t="n">
        <f aca="false">B46*C46</f>
        <v>0</v>
      </c>
    </row>
    <row r="47" customFormat="false" ht="15" hidden="false" customHeight="false" outlineLevel="0" collapsed="false">
      <c r="A47" s="0" t="s">
        <v>121</v>
      </c>
      <c r="B47" s="3" t="n">
        <v>2850</v>
      </c>
      <c r="C47" s="4" t="n">
        <v>0</v>
      </c>
      <c r="D47" s="6" t="n">
        <f aca="false">B47*C47</f>
        <v>0</v>
      </c>
      <c r="E47" s="5" t="n">
        <f aca="false">C47*16</f>
        <v>0</v>
      </c>
      <c r="F47" s="6" t="n">
        <f aca="false">E47*B28</f>
        <v>0</v>
      </c>
      <c r="G47" s="6" t="n">
        <f aca="false">F47*75%</f>
        <v>0</v>
      </c>
    </row>
    <row r="48" customFormat="false" ht="15" hidden="false" customHeight="false" outlineLevel="0" collapsed="false">
      <c r="A48" s="0" t="s">
        <v>122</v>
      </c>
      <c r="B48" s="3" t="n">
        <v>4950</v>
      </c>
      <c r="C48" s="4" t="n">
        <v>0</v>
      </c>
      <c r="D48" s="6" t="n">
        <f aca="false">B48*C48</f>
        <v>0</v>
      </c>
      <c r="E48" s="5" t="n">
        <f aca="false">C48*16</f>
        <v>0</v>
      </c>
      <c r="F48" s="6" t="n">
        <f aca="false">E48*B28</f>
        <v>0</v>
      </c>
      <c r="G48" s="6" t="n">
        <f aca="false">F48*75%</f>
        <v>0</v>
      </c>
    </row>
    <row r="49" customFormat="false" ht="15" hidden="false" customHeight="false" outlineLevel="0" collapsed="false">
      <c r="A49" s="1" t="s">
        <v>123</v>
      </c>
      <c r="D49" s="6" t="n">
        <f aca="false">SUM(D36:D48)</f>
        <v>2099</v>
      </c>
    </row>
    <row r="50" customFormat="false" ht="15" hidden="false" customHeight="false" outlineLevel="0" collapsed="false">
      <c r="A50" s="1" t="s">
        <v>124</v>
      </c>
      <c r="D50" s="6" t="n">
        <f aca="false">SUM(F36,G36,F39,G39,F43,G43,F47,G47,F48,G48)</f>
        <v>231</v>
      </c>
    </row>
    <row r="51" customFormat="false" ht="15" hidden="false" customHeight="false" outlineLevel="0" collapsed="false">
      <c r="A51" s="1" t="s">
        <v>125</v>
      </c>
      <c r="D51" s="6" t="n">
        <f aca="false">SUM(D49:D50)</f>
        <v>2330</v>
      </c>
    </row>
    <row r="54" customFormat="false" ht="15" hidden="false" customHeight="false" outlineLevel="0" collapsed="false">
      <c r="A54" s="1" t="s">
        <v>126</v>
      </c>
    </row>
    <row r="55" customFormat="false" ht="15" hidden="false" customHeight="false" outlineLevel="0" collapsed="false">
      <c r="A55" s="0" t="s">
        <v>127</v>
      </c>
    </row>
    <row r="56" customFormat="false" ht="15" hidden="false" customHeight="false" outlineLevel="0" collapsed="false">
      <c r="A56" s="0" t="s">
        <v>128</v>
      </c>
      <c r="D56" s="6" t="n">
        <f aca="false">SUM(D58:D60)</f>
        <v>1044.57</v>
      </c>
    </row>
    <row r="57" customFormat="false" ht="15" hidden="false" customHeight="false" outlineLevel="0" collapsed="false">
      <c r="A57" s="0" t="s">
        <v>129</v>
      </c>
      <c r="B57" s="4" t="n">
        <v>0</v>
      </c>
      <c r="D57" s="6" t="n">
        <f aca="false">D58*B57</f>
        <v>0</v>
      </c>
    </row>
    <row r="58" customFormat="false" ht="15" hidden="false" customHeight="false" outlineLevel="0" collapsed="false">
      <c r="A58" s="0" t="s">
        <v>123</v>
      </c>
      <c r="D58" s="3" t="n">
        <v>846.82</v>
      </c>
      <c r="E58" s="5" t="s">
        <v>71</v>
      </c>
    </row>
    <row r="59" customFormat="false" ht="15" hidden="false" customHeight="false" outlineLevel="0" collapsed="false">
      <c r="A59" s="0" t="s">
        <v>124</v>
      </c>
      <c r="B59" s="0" t="s">
        <v>130</v>
      </c>
      <c r="C59" s="4" t="n">
        <v>4</v>
      </c>
      <c r="D59" s="6" t="n">
        <f aca="false">B18*C59</f>
        <v>113</v>
      </c>
      <c r="E59" s="4" t="n">
        <v>4</v>
      </c>
    </row>
    <row r="60" customFormat="false" ht="15" hidden="false" customHeight="false" outlineLevel="0" collapsed="false">
      <c r="A60" s="0" t="s">
        <v>131</v>
      </c>
      <c r="D60" s="6" t="n">
        <f aca="false">D59*75%</f>
        <v>84.75</v>
      </c>
      <c r="E60" s="5" t="s">
        <v>62</v>
      </c>
    </row>
    <row r="63" customFormat="false" ht="15" hidden="false" customHeight="false" outlineLevel="0" collapsed="false">
      <c r="A63" s="0" t="s">
        <v>132</v>
      </c>
    </row>
    <row r="64" customFormat="false" ht="15" hidden="false" customHeight="false" outlineLevel="0" collapsed="false">
      <c r="A64" s="0" t="s">
        <v>128</v>
      </c>
      <c r="D64" s="6" t="n">
        <f aca="false">SUM(D65:D68)</f>
        <v>4694.998085</v>
      </c>
    </row>
    <row r="65" customFormat="false" ht="15" hidden="false" customHeight="false" outlineLevel="0" collapsed="false">
      <c r="A65" s="0" t="s">
        <v>129</v>
      </c>
      <c r="B65" s="4" t="n">
        <v>0.153927</v>
      </c>
      <c r="D65" s="6" t="n">
        <f aca="false">D66*B65</f>
        <v>362.498085</v>
      </c>
    </row>
    <row r="66" customFormat="false" ht="15" hidden="false" customHeight="false" outlineLevel="0" collapsed="false">
      <c r="A66" s="0" t="s">
        <v>123</v>
      </c>
      <c r="D66" s="3" t="n">
        <v>2355</v>
      </c>
      <c r="E66" s="5" t="s">
        <v>71</v>
      </c>
    </row>
    <row r="67" customFormat="false" ht="15" hidden="false" customHeight="false" outlineLevel="0" collapsed="false">
      <c r="A67" s="0" t="s">
        <v>124</v>
      </c>
      <c r="B67" s="0" t="s">
        <v>130</v>
      </c>
      <c r="C67" s="4" t="n">
        <v>40</v>
      </c>
      <c r="D67" s="6" t="n">
        <f aca="false">B18*C67</f>
        <v>1130</v>
      </c>
      <c r="E67" s="5" t="n">
        <f aca="false">C67</f>
        <v>40</v>
      </c>
    </row>
    <row r="68" customFormat="false" ht="15" hidden="false" customHeight="false" outlineLevel="0" collapsed="false">
      <c r="A68" s="0" t="s">
        <v>131</v>
      </c>
      <c r="D68" s="6" t="n">
        <f aca="false">D67*75%</f>
        <v>847.5</v>
      </c>
      <c r="E68" s="5" t="s">
        <v>62</v>
      </c>
    </row>
    <row r="71" customFormat="false" ht="15" hidden="false" customHeight="false" outlineLevel="0" collapsed="false">
      <c r="A71" s="0" t="s">
        <v>133</v>
      </c>
    </row>
    <row r="72" customFormat="false" ht="15" hidden="false" customHeight="false" outlineLevel="0" collapsed="false">
      <c r="A72" s="0" t="s">
        <v>128</v>
      </c>
      <c r="D72" s="6" t="n">
        <f aca="false">SUM(D73:D76)</f>
        <v>9221.375</v>
      </c>
    </row>
    <row r="73" customFormat="false" ht="15" hidden="false" customHeight="false" outlineLevel="0" collapsed="false">
      <c r="A73" s="0" t="s">
        <v>129</v>
      </c>
      <c r="B73" s="4" t="n">
        <v>0</v>
      </c>
      <c r="D73" s="6" t="n">
        <f aca="false">D74*B73</f>
        <v>0</v>
      </c>
    </row>
    <row r="74" customFormat="false" ht="15" hidden="false" customHeight="false" outlineLevel="0" collapsed="false">
      <c r="A74" s="0" t="s">
        <v>123</v>
      </c>
      <c r="D74" s="3" t="n">
        <v>6354</v>
      </c>
      <c r="E74" s="5" t="s">
        <v>71</v>
      </c>
    </row>
    <row r="75" customFormat="false" ht="15" hidden="false" customHeight="false" outlineLevel="0" collapsed="false">
      <c r="A75" s="0" t="s">
        <v>124</v>
      </c>
      <c r="B75" s="0" t="s">
        <v>130</v>
      </c>
      <c r="C75" s="4" t="n">
        <v>58</v>
      </c>
      <c r="D75" s="6" t="n">
        <f aca="false">B18*C75</f>
        <v>1638.5</v>
      </c>
      <c r="E75" s="5" t="n">
        <f aca="false">C75</f>
        <v>58</v>
      </c>
    </row>
    <row r="76" customFormat="false" ht="15" hidden="false" customHeight="false" outlineLevel="0" collapsed="false">
      <c r="A76" s="0" t="s">
        <v>131</v>
      </c>
      <c r="D76" s="6" t="n">
        <f aca="false">D75*75%</f>
        <v>1228.875</v>
      </c>
      <c r="E76" s="5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2026-07-21T19:42:50Z</dcterms:created>
  <dc:creator>openpyxl</dc:creator>
  <dc:description/>
  <dc:language>en-US</dc:language>
  <cp:lastModifiedBy/>
  <dcterms:modified xsi:type="dcterms:W3CDTF">2026-07-21T19:42:50Z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